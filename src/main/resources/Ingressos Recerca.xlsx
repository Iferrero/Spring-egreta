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C3BD049D-D63E-4144-81FF-DC408DED5883}" xr6:coauthVersionLast="47" xr6:coauthVersionMax="47" xr10:uidLastSave="{00000000-0000-0000-0000-000000000000}"/>
  <bookViews>
    <workbookView xWindow="-135" yWindow="-135" windowWidth="29070" windowHeight="15750" activeTab="1" xr2:uid="{475D18C9-6CE2-48D0-8CB4-F7C6DEB11C15}"/>
  </bookViews>
  <sheets>
    <sheet name="Ing. recerca 31.3.2018-2026" sheetId="1" r:id="rId1"/>
    <sheet name="1r trimestre - Total" sheetId="2" r:id="rId2"/>
  </sheets>
  <definedNames>
    <definedName name="_xlnm._FilterDatabase" localSheetId="0" hidden="1">'Ing. recerca 31.3.2018-2026'!$A$3:$P$289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39" i="2" l="1"/>
  <c r="R39" i="2"/>
  <c r="O39" i="2"/>
  <c r="I39" i="2"/>
  <c r="D39" i="2"/>
  <c r="B39" i="2"/>
  <c r="L39" i="2"/>
  <c r="F39" i="2"/>
  <c r="X37" i="2" l="1"/>
  <c r="W37" i="2"/>
  <c r="V37" i="2"/>
  <c r="U37" i="2"/>
  <c r="T37" i="2"/>
  <c r="S37" i="2"/>
  <c r="R37" i="2"/>
  <c r="Q37" i="2"/>
  <c r="O37" i="2"/>
  <c r="N37" i="2"/>
  <c r="L37" i="2"/>
  <c r="K37" i="2"/>
  <c r="I37" i="2"/>
  <c r="F37" i="2"/>
  <c r="D37" i="2"/>
  <c r="B37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X6" i="2"/>
  <c r="W6" i="2"/>
  <c r="V6" i="2"/>
  <c r="U6" i="2"/>
  <c r="T6" i="2"/>
  <c r="S6" i="2"/>
  <c r="R6" i="2"/>
  <c r="Q6" i="2"/>
  <c r="P6" i="2"/>
  <c r="P37" i="2" s="1"/>
  <c r="O6" i="2"/>
  <c r="N6" i="2"/>
  <c r="M6" i="2"/>
  <c r="M37" i="2" s="1"/>
  <c r="L6" i="2"/>
  <c r="K6" i="2"/>
  <c r="J6" i="2"/>
  <c r="J37" i="2" s="1"/>
  <c r="I6" i="2"/>
  <c r="H6" i="2"/>
  <c r="H37" i="2" s="1"/>
  <c r="G6" i="2"/>
  <c r="G37" i="2" s="1"/>
  <c r="F6" i="2"/>
  <c r="E6" i="2"/>
  <c r="E37" i="2" s="1"/>
  <c r="D6" i="2"/>
  <c r="C6" i="2"/>
  <c r="C37" i="2" s="1"/>
  <c r="B6" i="2"/>
  <c r="S319" i="1"/>
  <c r="S318" i="1"/>
  <c r="S317" i="1"/>
  <c r="S316" i="1"/>
  <c r="S313" i="1"/>
  <c r="S312" i="1"/>
  <c r="S311" i="1"/>
  <c r="S310" i="1"/>
  <c r="S309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3" i="1"/>
  <c r="R294" i="1"/>
  <c r="R304" i="1"/>
  <c r="P310" i="1" l="1"/>
  <c r="P318" i="1"/>
  <c r="P317" i="1"/>
  <c r="P316" i="1"/>
  <c r="P315" i="1"/>
  <c r="P314" i="1"/>
  <c r="P313" i="1"/>
  <c r="P312" i="1"/>
  <c r="P311" i="1"/>
  <c r="P309" i="1"/>
  <c r="P308" i="1"/>
  <c r="P307" i="1"/>
  <c r="P306" i="1"/>
  <c r="P305" i="1"/>
  <c r="P303" i="1"/>
  <c r="P302" i="1"/>
  <c r="P301" i="1"/>
  <c r="P300" i="1"/>
  <c r="P298" i="1"/>
  <c r="P297" i="1"/>
  <c r="P296" i="1"/>
  <c r="P295" i="1"/>
  <c r="P293" i="1"/>
  <c r="O304" i="1"/>
  <c r="N304" i="1"/>
  <c r="M304" i="1"/>
  <c r="L304" i="1"/>
  <c r="K304" i="1"/>
  <c r="J304" i="1"/>
  <c r="I304" i="1"/>
  <c r="H304" i="1"/>
  <c r="G304" i="1"/>
  <c r="O294" i="1"/>
  <c r="S294" i="1" s="1"/>
  <c r="N294" i="1"/>
  <c r="M294" i="1"/>
  <c r="L294" i="1"/>
  <c r="K294" i="1"/>
  <c r="J294" i="1"/>
  <c r="J319" i="1" s="1"/>
  <c r="I294" i="1"/>
  <c r="I319" i="1" s="1"/>
  <c r="H294" i="1"/>
  <c r="H319" i="1" s="1"/>
  <c r="G294" i="1"/>
  <c r="P286" i="1"/>
  <c r="P285" i="1"/>
  <c r="P284" i="1"/>
  <c r="P283" i="1"/>
  <c r="P282" i="1"/>
  <c r="P279" i="1"/>
  <c r="P278" i="1"/>
  <c r="P277" i="1"/>
  <c r="P276" i="1"/>
  <c r="P275" i="1"/>
  <c r="P274" i="1"/>
  <c r="P273" i="1"/>
  <c r="P272" i="1"/>
  <c r="P271" i="1"/>
  <c r="P270" i="1"/>
  <c r="P269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1" i="1"/>
  <c r="P250" i="1"/>
  <c r="P249" i="1"/>
  <c r="P248" i="1"/>
  <c r="P246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6" i="1"/>
  <c r="P125" i="1"/>
  <c r="P124" i="1"/>
  <c r="P123" i="1"/>
  <c r="P122" i="1"/>
  <c r="P121" i="1"/>
  <c r="P120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1" i="1"/>
  <c r="P100" i="1"/>
  <c r="P99" i="1"/>
  <c r="P98" i="1"/>
  <c r="P97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4" i="1"/>
  <c r="P63" i="1"/>
  <c r="P62" i="1"/>
  <c r="P61" i="1"/>
  <c r="P60" i="1"/>
  <c r="P59" i="1"/>
  <c r="P58" i="1"/>
  <c r="P57" i="1"/>
  <c r="P56" i="1"/>
  <c r="P55" i="1"/>
  <c r="P53" i="1"/>
  <c r="P52" i="1"/>
  <c r="P51" i="1"/>
  <c r="P50" i="1"/>
  <c r="P49" i="1"/>
  <c r="P46" i="1"/>
  <c r="P45" i="1"/>
  <c r="P44" i="1"/>
  <c r="P42" i="1"/>
  <c r="P41" i="1"/>
  <c r="P40" i="1"/>
  <c r="P38" i="1"/>
  <c r="P37" i="1"/>
  <c r="P36" i="1"/>
  <c r="P35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4" i="1"/>
  <c r="O287" i="1"/>
  <c r="O288" i="1" s="1"/>
  <c r="N287" i="1"/>
  <c r="M287" i="1"/>
  <c r="M288" i="1" s="1"/>
  <c r="L287" i="1"/>
  <c r="L288" i="1" s="1"/>
  <c r="K287" i="1"/>
  <c r="K288" i="1" s="1"/>
  <c r="J287" i="1"/>
  <c r="J288" i="1" s="1"/>
  <c r="I287" i="1"/>
  <c r="I288" i="1" s="1"/>
  <c r="H287" i="1"/>
  <c r="H288" i="1" s="1"/>
  <c r="G287" i="1"/>
  <c r="G288" i="1" s="1"/>
  <c r="O280" i="1"/>
  <c r="N280" i="1"/>
  <c r="M280" i="1"/>
  <c r="L280" i="1"/>
  <c r="K280" i="1"/>
  <c r="J280" i="1"/>
  <c r="I280" i="1"/>
  <c r="H280" i="1"/>
  <c r="G280" i="1"/>
  <c r="O268" i="1"/>
  <c r="N268" i="1"/>
  <c r="M268" i="1"/>
  <c r="L268" i="1"/>
  <c r="K268" i="1"/>
  <c r="J268" i="1"/>
  <c r="I268" i="1"/>
  <c r="H268" i="1"/>
  <c r="G268" i="1"/>
  <c r="O252" i="1"/>
  <c r="N252" i="1"/>
  <c r="M252" i="1"/>
  <c r="L252" i="1"/>
  <c r="K252" i="1"/>
  <c r="J252" i="1"/>
  <c r="I252" i="1"/>
  <c r="H252" i="1"/>
  <c r="G252" i="1"/>
  <c r="O247" i="1"/>
  <c r="N247" i="1"/>
  <c r="M247" i="1"/>
  <c r="L247" i="1"/>
  <c r="K247" i="1"/>
  <c r="J247" i="1"/>
  <c r="I247" i="1"/>
  <c r="H247" i="1"/>
  <c r="G247" i="1"/>
  <c r="O245" i="1"/>
  <c r="N245" i="1"/>
  <c r="M245" i="1"/>
  <c r="L245" i="1"/>
  <c r="K245" i="1"/>
  <c r="J245" i="1"/>
  <c r="I245" i="1"/>
  <c r="H245" i="1"/>
  <c r="G245" i="1"/>
  <c r="O223" i="1"/>
  <c r="N223" i="1"/>
  <c r="M223" i="1"/>
  <c r="L223" i="1"/>
  <c r="K223" i="1"/>
  <c r="J223" i="1"/>
  <c r="I223" i="1"/>
  <c r="H223" i="1"/>
  <c r="G223" i="1"/>
  <c r="O198" i="1"/>
  <c r="N198" i="1"/>
  <c r="M198" i="1"/>
  <c r="L198" i="1"/>
  <c r="K198" i="1"/>
  <c r="J198" i="1"/>
  <c r="I198" i="1"/>
  <c r="H198" i="1"/>
  <c r="G198" i="1"/>
  <c r="O178" i="1"/>
  <c r="N178" i="1"/>
  <c r="M178" i="1"/>
  <c r="L178" i="1"/>
  <c r="K178" i="1"/>
  <c r="J178" i="1"/>
  <c r="I178" i="1"/>
  <c r="H178" i="1"/>
  <c r="G178" i="1"/>
  <c r="O163" i="1"/>
  <c r="N163" i="1"/>
  <c r="M163" i="1"/>
  <c r="L163" i="1"/>
  <c r="K163" i="1"/>
  <c r="J163" i="1"/>
  <c r="I163" i="1"/>
  <c r="H163" i="1"/>
  <c r="G163" i="1"/>
  <c r="O127" i="1"/>
  <c r="N127" i="1"/>
  <c r="M127" i="1"/>
  <c r="L127" i="1"/>
  <c r="K127" i="1"/>
  <c r="J127" i="1"/>
  <c r="I127" i="1"/>
  <c r="H127" i="1"/>
  <c r="G127" i="1"/>
  <c r="O119" i="1"/>
  <c r="N119" i="1"/>
  <c r="M119" i="1"/>
  <c r="L119" i="1"/>
  <c r="K119" i="1"/>
  <c r="J119" i="1"/>
  <c r="I119" i="1"/>
  <c r="H119" i="1"/>
  <c r="G119" i="1"/>
  <c r="O102" i="1"/>
  <c r="N102" i="1"/>
  <c r="M102" i="1"/>
  <c r="L102" i="1"/>
  <c r="K102" i="1"/>
  <c r="J102" i="1"/>
  <c r="I102" i="1"/>
  <c r="H102" i="1"/>
  <c r="G102" i="1"/>
  <c r="O96" i="1"/>
  <c r="N96" i="1"/>
  <c r="M96" i="1"/>
  <c r="L96" i="1"/>
  <c r="K96" i="1"/>
  <c r="J96" i="1"/>
  <c r="I96" i="1"/>
  <c r="H96" i="1"/>
  <c r="G96" i="1"/>
  <c r="O65" i="1"/>
  <c r="N65" i="1"/>
  <c r="M65" i="1"/>
  <c r="L65" i="1"/>
  <c r="K65" i="1"/>
  <c r="J65" i="1"/>
  <c r="I65" i="1"/>
  <c r="H65" i="1"/>
  <c r="G65" i="1"/>
  <c r="O54" i="1"/>
  <c r="N54" i="1"/>
  <c r="M54" i="1"/>
  <c r="L54" i="1"/>
  <c r="K54" i="1"/>
  <c r="J54" i="1"/>
  <c r="I54" i="1"/>
  <c r="H54" i="1"/>
  <c r="G54" i="1"/>
  <c r="O47" i="1"/>
  <c r="N47" i="1"/>
  <c r="M47" i="1"/>
  <c r="L47" i="1"/>
  <c r="K47" i="1"/>
  <c r="J47" i="1"/>
  <c r="I47" i="1"/>
  <c r="H47" i="1"/>
  <c r="G47" i="1"/>
  <c r="O43" i="1"/>
  <c r="N43" i="1"/>
  <c r="M43" i="1"/>
  <c r="L43" i="1"/>
  <c r="K43" i="1"/>
  <c r="J43" i="1"/>
  <c r="I43" i="1"/>
  <c r="H43" i="1"/>
  <c r="G43" i="1"/>
  <c r="O39" i="1"/>
  <c r="N39" i="1"/>
  <c r="M39" i="1"/>
  <c r="L39" i="1"/>
  <c r="K39" i="1"/>
  <c r="J39" i="1"/>
  <c r="I39" i="1"/>
  <c r="H39" i="1"/>
  <c r="G39" i="1"/>
  <c r="O34" i="1"/>
  <c r="N34" i="1"/>
  <c r="M34" i="1"/>
  <c r="L34" i="1"/>
  <c r="K34" i="1"/>
  <c r="J34" i="1"/>
  <c r="I34" i="1"/>
  <c r="H34" i="1"/>
  <c r="G34" i="1"/>
  <c r="O5" i="1"/>
  <c r="N5" i="1"/>
  <c r="M5" i="1"/>
  <c r="L5" i="1"/>
  <c r="K5" i="1"/>
  <c r="J5" i="1"/>
  <c r="I5" i="1"/>
  <c r="H5" i="1"/>
  <c r="G5" i="1"/>
  <c r="G319" i="1" l="1"/>
  <c r="K319" i="1"/>
  <c r="L319" i="1"/>
  <c r="P304" i="1"/>
  <c r="N319" i="1"/>
  <c r="M319" i="1"/>
  <c r="O319" i="1"/>
  <c r="P294" i="1"/>
  <c r="P287" i="1"/>
  <c r="P245" i="1"/>
  <c r="P252" i="1"/>
  <c r="P280" i="1"/>
  <c r="P102" i="1"/>
  <c r="P178" i="1"/>
  <c r="P39" i="1"/>
  <c r="P65" i="1"/>
  <c r="P223" i="1"/>
  <c r="P268" i="1"/>
  <c r="M48" i="1"/>
  <c r="G48" i="1"/>
  <c r="G281" i="1"/>
  <c r="P54" i="1"/>
  <c r="P198" i="1"/>
  <c r="P119" i="1"/>
  <c r="M179" i="1"/>
  <c r="N281" i="1"/>
  <c r="K281" i="1"/>
  <c r="P5" i="1"/>
  <c r="L48" i="1"/>
  <c r="O48" i="1"/>
  <c r="P247" i="1"/>
  <c r="I281" i="1"/>
  <c r="L281" i="1"/>
  <c r="J48" i="1"/>
  <c r="N179" i="1"/>
  <c r="K179" i="1"/>
  <c r="P34" i="1"/>
  <c r="I179" i="1"/>
  <c r="M281" i="1"/>
  <c r="P43" i="1"/>
  <c r="P96" i="1"/>
  <c r="P163" i="1"/>
  <c r="I48" i="1"/>
  <c r="H281" i="1"/>
  <c r="L179" i="1"/>
  <c r="G179" i="1"/>
  <c r="J179" i="1"/>
  <c r="J281" i="1"/>
  <c r="K48" i="1"/>
  <c r="N48" i="1"/>
  <c r="H48" i="1"/>
  <c r="P127" i="1"/>
  <c r="H179" i="1"/>
  <c r="O281" i="1"/>
  <c r="P47" i="1"/>
  <c r="O179" i="1"/>
  <c r="N288" i="1"/>
  <c r="P319" i="1" l="1"/>
  <c r="H289" i="1"/>
  <c r="I289" i="1"/>
  <c r="P281" i="1"/>
  <c r="P48" i="1"/>
  <c r="M289" i="1"/>
  <c r="G289" i="1"/>
  <c r="K289" i="1"/>
  <c r="J289" i="1"/>
  <c r="L289" i="1"/>
  <c r="N289" i="1"/>
  <c r="P179" i="1"/>
  <c r="O289" i="1"/>
  <c r="P288" i="1"/>
  <c r="P289" i="1" l="1"/>
</calcChain>
</file>

<file path=xl/sharedStrings.xml><?xml version="1.0" encoding="utf-8"?>
<sst xmlns="http://schemas.openxmlformats.org/spreadsheetml/2006/main" count="887" uniqueCount="453">
  <si>
    <t xml:space="preserve">Capítol </t>
  </si>
  <si>
    <t>Article</t>
  </si>
  <si>
    <t>CP</t>
  </si>
  <si>
    <t>Descripció CP</t>
  </si>
  <si>
    <t>TP</t>
  </si>
  <si>
    <t>Descripció TP</t>
  </si>
  <si>
    <t>2020</t>
  </si>
  <si>
    <t>2021</t>
  </si>
  <si>
    <t>2022</t>
  </si>
  <si>
    <t>2023</t>
  </si>
  <si>
    <t>2024</t>
  </si>
  <si>
    <t>2025</t>
  </si>
  <si>
    <t>2026</t>
  </si>
  <si>
    <t>Total general</t>
  </si>
  <si>
    <t>3</t>
  </si>
  <si>
    <t>31</t>
  </si>
  <si>
    <t>31712</t>
  </si>
  <si>
    <t>Beques doctorat cursos anteriors (EEES)</t>
  </si>
  <si>
    <t>BA</t>
  </si>
  <si>
    <t>Beques de Formació de Personal Investiga</t>
  </si>
  <si>
    <t>31 Total</t>
  </si>
  <si>
    <t>32</t>
  </si>
  <si>
    <t>32001</t>
  </si>
  <si>
    <t>P.S.  Anàlisi AID</t>
  </si>
  <si>
    <t>CC</t>
  </si>
  <si>
    <t>convenis - formació</t>
  </si>
  <si>
    <t>CD</t>
  </si>
  <si>
    <t>convenis - investigació bàsica</t>
  </si>
  <si>
    <t>CF</t>
  </si>
  <si>
    <t>convenis - prestació de serveis</t>
  </si>
  <si>
    <t>CR</t>
  </si>
  <si>
    <t>Prestació de Serveis sense IVA</t>
  </si>
  <si>
    <t>EF</t>
  </si>
  <si>
    <t>Projectes Europeus amb facturació</t>
  </si>
  <si>
    <t>GJ</t>
  </si>
  <si>
    <t>Prest. Serveis de recerca</t>
  </si>
  <si>
    <t>PT</t>
  </si>
  <si>
    <t>Proj.recerca amb factura i sense conveni</t>
  </si>
  <si>
    <t>RB</t>
  </si>
  <si>
    <t>Projectes d'iniciatives socials</t>
  </si>
  <si>
    <t>32002</t>
  </si>
  <si>
    <t>Altres P.S. AID</t>
  </si>
  <si>
    <t>32003</t>
  </si>
  <si>
    <t>P.S.  Cientificotècnics</t>
  </si>
  <si>
    <t>32100</t>
  </si>
  <si>
    <t>P.S. Serveis Centrals</t>
  </si>
  <si>
    <t>DR</t>
  </si>
  <si>
    <t>Beques Doctorat Industrial</t>
  </si>
  <si>
    <t>32101</t>
  </si>
  <si>
    <t>P.S. Centre Territorials</t>
  </si>
  <si>
    <t>GF</t>
  </si>
  <si>
    <t>Altres projectes investigació</t>
  </si>
  <si>
    <t>PO</t>
  </si>
  <si>
    <t>Projectes internacionals</t>
  </si>
  <si>
    <t>HA</t>
  </si>
  <si>
    <t>Convenis Institucionals</t>
  </si>
  <si>
    <t>GL</t>
  </si>
  <si>
    <t>P.S per activitats no docents</t>
  </si>
  <si>
    <t>GG</t>
  </si>
  <si>
    <t>Altres projectes docència</t>
  </si>
  <si>
    <t>RG</t>
  </si>
  <si>
    <t>Gestió de Revistes i Publicacions UAB</t>
  </si>
  <si>
    <t>32103</t>
  </si>
  <si>
    <t>P.S. S.D.A.P.</t>
  </si>
  <si>
    <t>32104</t>
  </si>
  <si>
    <t>P.S. S.D.G.M.</t>
  </si>
  <si>
    <t>32 Total</t>
  </si>
  <si>
    <t>33</t>
  </si>
  <si>
    <t>33000</t>
  </si>
  <si>
    <t>Venda publi. pròpies</t>
  </si>
  <si>
    <t>33303</t>
  </si>
  <si>
    <t>Venda altres bens</t>
  </si>
  <si>
    <t>33100</t>
  </si>
  <si>
    <t>Venda publi. ICE</t>
  </si>
  <si>
    <t>33 Total</t>
  </si>
  <si>
    <t>38</t>
  </si>
  <si>
    <t>38000</t>
  </si>
  <si>
    <t>Ingr. Pres. tancats  per activitats</t>
  </si>
  <si>
    <t>38001</t>
  </si>
  <si>
    <t>Ingr. Pres. tancats per recerca</t>
  </si>
  <si>
    <t>MC</t>
  </si>
  <si>
    <t>Beques de formació de professorat univer</t>
  </si>
  <si>
    <t>ND</t>
  </si>
  <si>
    <t>Juan de la Cierva</t>
  </si>
  <si>
    <t>NF</t>
  </si>
  <si>
    <t>Ramon y Cajal</t>
  </si>
  <si>
    <t>PK</t>
  </si>
  <si>
    <t>Projectes Nacionals</t>
  </si>
  <si>
    <t>38 Total</t>
  </si>
  <si>
    <t>39</t>
  </si>
  <si>
    <t>39900</t>
  </si>
  <si>
    <t>Altres ingressos per activitats</t>
  </si>
  <si>
    <t>CB</t>
  </si>
  <si>
    <t>convenis - donació</t>
  </si>
  <si>
    <t>39903</t>
  </si>
  <si>
    <t>Altres ingressos per PS convenis</t>
  </si>
  <si>
    <t>39904</t>
  </si>
  <si>
    <t>Altres ingressos per convenis de recerca</t>
  </si>
  <si>
    <t>LC</t>
  </si>
  <si>
    <t>Premis</t>
  </si>
  <si>
    <t>39 Total</t>
  </si>
  <si>
    <t>3 Total</t>
  </si>
  <si>
    <t>4</t>
  </si>
  <si>
    <t>40</t>
  </si>
  <si>
    <t>40003</t>
  </si>
  <si>
    <t>MEC  activitats</t>
  </si>
  <si>
    <t>AF</t>
  </si>
  <si>
    <t>Altres accions</t>
  </si>
  <si>
    <t>BF</t>
  </si>
  <si>
    <t>Formació de personal investigador adscri</t>
  </si>
  <si>
    <t>MF</t>
  </si>
  <si>
    <t>Estades d'investigadors a l'estranger</t>
  </si>
  <si>
    <t>40004</t>
  </si>
  <si>
    <t>MEC  convenis</t>
  </si>
  <si>
    <t>AZ</t>
  </si>
  <si>
    <t>Altres ajuts</t>
  </si>
  <si>
    <t>40010</t>
  </si>
  <si>
    <t>D'altres Ministeris</t>
  </si>
  <si>
    <t>CT</t>
  </si>
  <si>
    <t>Aportacions de recerca</t>
  </si>
  <si>
    <t>PZ</t>
  </si>
  <si>
    <t>Altres Projectes</t>
  </si>
  <si>
    <t>AP</t>
  </si>
  <si>
    <t>Accions Complementàries (prorrata)</t>
  </si>
  <si>
    <t>40 Total</t>
  </si>
  <si>
    <t>41</t>
  </si>
  <si>
    <t>41000</t>
  </si>
  <si>
    <t>Org. Autònoms</t>
  </si>
  <si>
    <t>41003</t>
  </si>
  <si>
    <t>Organismes Autònoms Gnt (Sec95)</t>
  </si>
  <si>
    <t>AS</t>
  </si>
  <si>
    <t>Convenis Sport</t>
  </si>
  <si>
    <t>41004</t>
  </si>
  <si>
    <t>Org. Aut. Recerca</t>
  </si>
  <si>
    <t>PV</t>
  </si>
  <si>
    <t>Projectes Valorització i transf. coneixe</t>
  </si>
  <si>
    <t>41200</t>
  </si>
  <si>
    <t>D'altres Comunitats Autònomes</t>
  </si>
  <si>
    <t>BH</t>
  </si>
  <si>
    <t>Beques Govern Basc</t>
  </si>
  <si>
    <t>BP</t>
  </si>
  <si>
    <t>Beques Predoctorals</t>
  </si>
  <si>
    <t>41001</t>
  </si>
  <si>
    <t>PM</t>
  </si>
  <si>
    <t>Proyectos del Instituto de la Mujer</t>
  </si>
  <si>
    <t>Org. Autònoms per activitats</t>
  </si>
  <si>
    <t>PS</t>
  </si>
  <si>
    <t>Excavacions Arqueològi.Altres Entitats</t>
  </si>
  <si>
    <t>41204</t>
  </si>
  <si>
    <t>D'altres Comunitats Autònomes per recerca</t>
  </si>
  <si>
    <t>41 Total</t>
  </si>
  <si>
    <t>44</t>
  </si>
  <si>
    <t>44004</t>
  </si>
  <si>
    <t>Organismes Autònoms SEC95</t>
  </si>
  <si>
    <t>Emp. Públ. i AEP Recerca</t>
  </si>
  <si>
    <t>CS</t>
  </si>
  <si>
    <t>Aportacions</t>
  </si>
  <si>
    <t>44100</t>
  </si>
  <si>
    <t>AGAUR</t>
  </si>
  <si>
    <t>AG</t>
  </si>
  <si>
    <t>Distincions als investigadors</t>
  </si>
  <si>
    <t>AB</t>
  </si>
  <si>
    <t>Grups recerca qualitat consolidats/emerg</t>
  </si>
  <si>
    <t>NB</t>
  </si>
  <si>
    <t>Beatriu de Pinós</t>
  </si>
  <si>
    <t>PL</t>
  </si>
  <si>
    <t>Projectes Recerca i Innovació educativa</t>
  </si>
  <si>
    <t>XZ</t>
  </si>
  <si>
    <t>Altres xarxes temàtiques</t>
  </si>
  <si>
    <t>BJ</t>
  </si>
  <si>
    <t>44110</t>
  </si>
  <si>
    <t>Altres emp.públiques</t>
  </si>
  <si>
    <t>PR</t>
  </si>
  <si>
    <t>Ajuts per projects OTRI</t>
  </si>
  <si>
    <t>LZ</t>
  </si>
  <si>
    <t>Altres ajuts - altres</t>
  </si>
  <si>
    <t>44204</t>
  </si>
  <si>
    <t>Univ. Cat. Recerca</t>
  </si>
  <si>
    <t>44300</t>
  </si>
  <si>
    <t>Consorcis (Sec95) AAPP</t>
  </si>
  <si>
    <t>44304</t>
  </si>
  <si>
    <t>Consorcis (No Sec95) per convenis</t>
  </si>
  <si>
    <t>44314</t>
  </si>
  <si>
    <t>Consorcis (Sec95) Recerca</t>
  </si>
  <si>
    <t>44400</t>
  </si>
  <si>
    <t>Empreses Públiques per Activitats (No Sec95)</t>
  </si>
  <si>
    <t>44200</t>
  </si>
  <si>
    <t>Univ. catalanes</t>
  </si>
  <si>
    <t>44 Total</t>
  </si>
  <si>
    <t>45</t>
  </si>
  <si>
    <t>45044</t>
  </si>
  <si>
    <t>Convenis</t>
  </si>
  <si>
    <t>45061</t>
  </si>
  <si>
    <t>Altres activitats</t>
  </si>
  <si>
    <t>45006</t>
  </si>
  <si>
    <t>Subvenció recerca</t>
  </si>
  <si>
    <t>AE</t>
  </si>
  <si>
    <t>Ajuts per a la realització d'accions com</t>
  </si>
  <si>
    <t>45 Total</t>
  </si>
  <si>
    <t>46</t>
  </si>
  <si>
    <t>46003</t>
  </si>
  <si>
    <t>Ens Locals activitats</t>
  </si>
  <si>
    <t>PN</t>
  </si>
  <si>
    <t>Programes de Cooperació Internacional</t>
  </si>
  <si>
    <t>RA</t>
  </si>
  <si>
    <t>Projectes d'igualtat i de cooperació</t>
  </si>
  <si>
    <t>46004</t>
  </si>
  <si>
    <t>Ens Locals Recerca</t>
  </si>
  <si>
    <t>46 Total</t>
  </si>
  <si>
    <t>47</t>
  </si>
  <si>
    <t>47002</t>
  </si>
  <si>
    <t>Emp. priv.doctorat</t>
  </si>
  <si>
    <t>47003</t>
  </si>
  <si>
    <t>Emp. priv. activitats</t>
  </si>
  <si>
    <t>47004</t>
  </si>
  <si>
    <t>Emp. priv. Recerca</t>
  </si>
  <si>
    <t>47007</t>
  </si>
  <si>
    <t>Empreses Privades per Donacions amb certificat</t>
  </si>
  <si>
    <t>47008</t>
  </si>
  <si>
    <t>Empr. priv. estatals</t>
  </si>
  <si>
    <t>47 Total</t>
  </si>
  <si>
    <t>48</t>
  </si>
  <si>
    <t>48002</t>
  </si>
  <si>
    <t>ISFL  doct.</t>
  </si>
  <si>
    <t>BZ</t>
  </si>
  <si>
    <t>Altres beques</t>
  </si>
  <si>
    <t>48003</t>
  </si>
  <si>
    <t>ISFL  activitats</t>
  </si>
  <si>
    <t>48004</t>
  </si>
  <si>
    <t>ISFL  Recerca</t>
  </si>
  <si>
    <t>48006</t>
  </si>
  <si>
    <t>ISFL AAPP sec Gnt per activitatats</t>
  </si>
  <si>
    <t>PI</t>
  </si>
  <si>
    <t>Projectes Fundació La Marató de TV3</t>
  </si>
  <si>
    <t>48007</t>
  </si>
  <si>
    <t>ISFL Sector publico estat per activitats</t>
  </si>
  <si>
    <t>48008</t>
  </si>
  <si>
    <t>ISFL Donacions</t>
  </si>
  <si>
    <t>48 Total</t>
  </si>
  <si>
    <t>49</t>
  </si>
  <si>
    <t>49000</t>
  </si>
  <si>
    <t>De la UE</t>
  </si>
  <si>
    <t>49100</t>
  </si>
  <si>
    <t>ISFL exterior</t>
  </si>
  <si>
    <t>49104</t>
  </si>
  <si>
    <t>ISFL exterior per Recerca</t>
  </si>
  <si>
    <t>49204</t>
  </si>
  <si>
    <t>Emp. priv.exterior convenis</t>
  </si>
  <si>
    <t>49 Total</t>
  </si>
  <si>
    <t>4 Total</t>
  </si>
  <si>
    <t>7</t>
  </si>
  <si>
    <t>70</t>
  </si>
  <si>
    <t>70000</t>
  </si>
  <si>
    <t>MEC / MICIU /  M. UNIV. projectes recerca</t>
  </si>
  <si>
    <t>PC</t>
  </si>
  <si>
    <t>Excavacions arqueològiques Ministeri</t>
  </si>
  <si>
    <t>PE</t>
  </si>
  <si>
    <t>Preparació de noves línies de recerca (P</t>
  </si>
  <si>
    <t>70001</t>
  </si>
  <si>
    <t>Ministeri Universitats per recerca</t>
  </si>
  <si>
    <t>70200</t>
  </si>
  <si>
    <t>MEC /  MICIU / M. Univ. personal  recerca</t>
  </si>
  <si>
    <t>BB</t>
  </si>
  <si>
    <t>NE</t>
  </si>
  <si>
    <t>Personal tècnic de suport</t>
  </si>
  <si>
    <t>NL</t>
  </si>
  <si>
    <t>Estades de Personal</t>
  </si>
  <si>
    <t>NM</t>
  </si>
  <si>
    <t>Estades PDI</t>
  </si>
  <si>
    <t>70207</t>
  </si>
  <si>
    <t>MEC per RAmón y Cajal / Juan de la Cierva</t>
  </si>
  <si>
    <t>70494</t>
  </si>
  <si>
    <t>Altr. Minist, convenis</t>
  </si>
  <si>
    <t>EA</t>
  </si>
  <si>
    <t>Projectes Europeus</t>
  </si>
  <si>
    <t>70009</t>
  </si>
  <si>
    <t>Altres Ministeris per recerca</t>
  </si>
  <si>
    <t>70 Total</t>
  </si>
  <si>
    <t>71</t>
  </si>
  <si>
    <t>71000</t>
  </si>
  <si>
    <t>Instit. salud Carlos III</t>
  </si>
  <si>
    <t>PH</t>
  </si>
  <si>
    <t>Projectes del Instituto Salud Carlos III</t>
  </si>
  <si>
    <t>XA</t>
  </si>
  <si>
    <t>Xarxes de l'Instituto de Salud Carlos II</t>
  </si>
  <si>
    <t>71200</t>
  </si>
  <si>
    <t>71300</t>
  </si>
  <si>
    <t>Organismes Autònoms de l'Estat per recerca</t>
  </si>
  <si>
    <t>MZ</t>
  </si>
  <si>
    <t>Altres mobilitats</t>
  </si>
  <si>
    <t>71400</t>
  </si>
  <si>
    <t>AEI per recerca</t>
  </si>
  <si>
    <t>MG</t>
  </si>
  <si>
    <t>YA</t>
  </si>
  <si>
    <t>Projectes d'Excel·lència</t>
  </si>
  <si>
    <t>XC</t>
  </si>
  <si>
    <t>Xarxes Recerca Ciencies de l'Esport</t>
  </si>
  <si>
    <t>71401</t>
  </si>
  <si>
    <t>AEI per personal de recerca</t>
  </si>
  <si>
    <t>71 Total</t>
  </si>
  <si>
    <t>74</t>
  </si>
  <si>
    <t>74000</t>
  </si>
  <si>
    <t>Emp.públiques Estat</t>
  </si>
  <si>
    <t>74005</t>
  </si>
  <si>
    <t>Emp. públiques Estat  per proj. Europeus</t>
  </si>
  <si>
    <t>74100</t>
  </si>
  <si>
    <t>AGAUR per recera</t>
  </si>
  <si>
    <t>74110</t>
  </si>
  <si>
    <t>Altres emp. Públ. GNT</t>
  </si>
  <si>
    <t>PB</t>
  </si>
  <si>
    <t>Excavacions arqueològiques Generalitat</t>
  </si>
  <si>
    <t>NJ</t>
  </si>
  <si>
    <t>Beques TECNIO</t>
  </si>
  <si>
    <t>74204</t>
  </si>
  <si>
    <t>Univ. catal. conv. recerca</t>
  </si>
  <si>
    <t>74210</t>
  </si>
  <si>
    <t>D'altres Univ.</t>
  </si>
  <si>
    <t>74300</t>
  </si>
  <si>
    <t>Consorcis Gnt (Sec95) inclossos en AAPP</t>
  </si>
  <si>
    <t>74314</t>
  </si>
  <si>
    <t>Consorcis (Sec95) per convenis de recerca</t>
  </si>
  <si>
    <t>74310</t>
  </si>
  <si>
    <t>Consorcis (No sec95) per subvencions</t>
  </si>
  <si>
    <t>74001</t>
  </si>
  <si>
    <t>Empr. Públi8ques Estat (no Sec95)</t>
  </si>
  <si>
    <t>74 Total</t>
  </si>
  <si>
    <t>76</t>
  </si>
  <si>
    <t>76002</t>
  </si>
  <si>
    <t>Corporacions Locals per Inversions</t>
  </si>
  <si>
    <t>76 Total</t>
  </si>
  <si>
    <t>77</t>
  </si>
  <si>
    <t>77000</t>
  </si>
  <si>
    <t>77004</t>
  </si>
  <si>
    <t>Emp. priv. conv. recerca</t>
  </si>
  <si>
    <t>77008</t>
  </si>
  <si>
    <t>77 Total</t>
  </si>
  <si>
    <t>78</t>
  </si>
  <si>
    <t>78000</t>
  </si>
  <si>
    <t>ISFL per recerca</t>
  </si>
  <si>
    <t>PP</t>
  </si>
  <si>
    <t>Projecte de Prevenció de Riscos Laborals</t>
  </si>
  <si>
    <t>78004</t>
  </si>
  <si>
    <t>ISFL conv.recerca</t>
  </si>
  <si>
    <t>78005</t>
  </si>
  <si>
    <t>ISFL conv. Recerca per proj. Europeus</t>
  </si>
  <si>
    <t>78006</t>
  </si>
  <si>
    <t>ISFL AAPP sec Gnt per recerca</t>
  </si>
  <si>
    <t>78008</t>
  </si>
  <si>
    <t>ISFL Sector publico estat per recerca</t>
  </si>
  <si>
    <t>78 Total</t>
  </si>
  <si>
    <t>79</t>
  </si>
  <si>
    <t>79001</t>
  </si>
  <si>
    <t>UE FEDER  recerca</t>
  </si>
  <si>
    <t>79004</t>
  </si>
  <si>
    <t>De la UE conv.recerca</t>
  </si>
  <si>
    <t>79100</t>
  </si>
  <si>
    <t>ISFL ext. recerca</t>
  </si>
  <si>
    <t>79104</t>
  </si>
  <si>
    <t>ISFL ext. conv. recerca</t>
  </si>
  <si>
    <t>CZ</t>
  </si>
  <si>
    <t>convenis - altres convenis</t>
  </si>
  <si>
    <t>79200</t>
  </si>
  <si>
    <t>Emp. Priv. Ext. recerca</t>
  </si>
  <si>
    <t>79204</t>
  </si>
  <si>
    <t>Emp. Priv. Ext. conv. Rec.</t>
  </si>
  <si>
    <t>79 Total</t>
  </si>
  <si>
    <t>7 Total</t>
  </si>
  <si>
    <t>9</t>
  </si>
  <si>
    <t>91</t>
  </si>
  <si>
    <t>91000</t>
  </si>
  <si>
    <t>FEDER per recerca</t>
  </si>
  <si>
    <t>IB</t>
  </si>
  <si>
    <t>FEDER</t>
  </si>
  <si>
    <t>IM</t>
  </si>
  <si>
    <t>Infraestructura Ministeri</t>
  </si>
  <si>
    <t>91002</t>
  </si>
  <si>
    <t>FEDER per inversions en Maquinària, Instal.lacions</t>
  </si>
  <si>
    <t>91200</t>
  </si>
  <si>
    <t>Fons Social Europeu</t>
  </si>
  <si>
    <t>91 Total</t>
  </si>
  <si>
    <t>9 Total</t>
  </si>
  <si>
    <t>Liquidació a 31/03/2018</t>
  </si>
  <si>
    <t>Liquidació a 31/03/2019</t>
  </si>
  <si>
    <t>Liquidació a 31/03/2020</t>
  </si>
  <si>
    <t>Liquidació a 31/03/2021</t>
  </si>
  <si>
    <t>Liquidació a 31/03/2022</t>
  </si>
  <si>
    <t>Liquidació a 31/03/2023</t>
  </si>
  <si>
    <t>Liquidació a 31/03/2024</t>
  </si>
  <si>
    <t>Liquidació a 31/03/2025</t>
  </si>
  <si>
    <t>Liquidació a 31/03/2026</t>
  </si>
  <si>
    <t>Diferència 2026-2025</t>
  </si>
  <si>
    <t>INGRESSOS DE RECERCA A 31 DE MARÇ DE 2018-2026</t>
  </si>
  <si>
    <t>PS Recerca (Cap. 3)</t>
  </si>
  <si>
    <t>Personal Investigador</t>
  </si>
  <si>
    <t>Personal Investigador FI - AGAUR (BA)</t>
  </si>
  <si>
    <t>Personal Investigador FPI - AEI (BF)</t>
  </si>
  <si>
    <t>Personal Investigador FPU - Ministerio (BB)</t>
  </si>
  <si>
    <t>Ramon y Cajal (NF) - AEI</t>
  </si>
  <si>
    <t>Juan de la Cierva (ND)</t>
  </si>
  <si>
    <t>Beatriz Galindo i IED (NM)</t>
  </si>
  <si>
    <t>Beatriu de Pinós (NB)</t>
  </si>
  <si>
    <t>Altre personal investigador</t>
  </si>
  <si>
    <t>Projectes (Cap. 4, 7 i 9)</t>
  </si>
  <si>
    <t>Projectes Nacionals (PK)</t>
  </si>
  <si>
    <t>Projectes Europeus (EA)</t>
  </si>
  <si>
    <t>Projectes Internacionals (PO)</t>
  </si>
  <si>
    <t>Projectes del Instituto Salud Carlos III (PH)</t>
  </si>
  <si>
    <t>Projectes Fundació La Marató de TV3 (PI)</t>
  </si>
  <si>
    <t>Distincions als investigadors (AG)</t>
  </si>
  <si>
    <t>Grups de recerca consolidats - SGR (AB)</t>
  </si>
  <si>
    <t>Infraestructura Ministeri (IM)</t>
  </si>
  <si>
    <t>FEDER (IB)</t>
  </si>
  <si>
    <t>Projectes d'Excel·lència (YA)</t>
  </si>
  <si>
    <t>Projectes Valorització i Transf. Coneixement (PV)</t>
  </si>
  <si>
    <t>Altres Projectes (PZ)</t>
  </si>
  <si>
    <t>Altres Projectes (Cap. 4, 7 i 9)</t>
  </si>
  <si>
    <t>Doctorat industrial (DR I BJ)</t>
  </si>
  <si>
    <t>Conceptes</t>
  </si>
  <si>
    <t>Pressupost 2025</t>
  </si>
  <si>
    <t>-</t>
  </si>
  <si>
    <t>% Execució P. 2026</t>
  </si>
  <si>
    <t>Ramon y Cajal (NF) - GdC</t>
  </si>
  <si>
    <t>Pressupost 2026</t>
  </si>
  <si>
    <t>Ingressos 31/03/2018</t>
  </si>
  <si>
    <t>Ingressos 31/12/2018</t>
  </si>
  <si>
    <t>Ingressos 31/03/2019</t>
  </si>
  <si>
    <t>Ingressos 31/12/2019</t>
  </si>
  <si>
    <t>Ingressos 31/03/2020</t>
  </si>
  <si>
    <t>Ingressos 31/12/2020</t>
  </si>
  <si>
    <t>Pressupost 2021</t>
  </si>
  <si>
    <t>Ingressos 31/03/2021</t>
  </si>
  <si>
    <t>Ingressos 31/12/2021</t>
  </si>
  <si>
    <t>Pressupost 2022</t>
  </si>
  <si>
    <t>Ingressos 31/03/2022</t>
  </si>
  <si>
    <t>Ingressos 31/12/2022</t>
  </si>
  <si>
    <t>Pressupost 2023</t>
  </si>
  <si>
    <t>Ingressos 31/03/2023</t>
  </si>
  <si>
    <t>Ingressos 31/12/2023</t>
  </si>
  <si>
    <t>Pressupost 2024</t>
  </si>
  <si>
    <t>Ingressos 31/03/2024</t>
  </si>
  <si>
    <t>Ingressos 31/12/2024</t>
  </si>
  <si>
    <t>Ingressos 31/03/2025</t>
  </si>
  <si>
    <t>Ingressos 31/12/2025</t>
  </si>
  <si>
    <t>Ingressos 31/03/2026</t>
  </si>
  <si>
    <t>Margarita Sala (MH)</t>
  </si>
  <si>
    <t>Maria Zambrano (NN)</t>
  </si>
  <si>
    <t>Requalificació PDI UAB (MI)</t>
  </si>
  <si>
    <t>Altres incorporacions de personal</t>
  </si>
  <si>
    <t>Investigo ESP</t>
  </si>
  <si>
    <t>Investigo CAT</t>
  </si>
  <si>
    <t>Doctorat industrial (DR i BJ)</t>
  </si>
  <si>
    <t>1r Trimestres s. Total</t>
  </si>
  <si>
    <t>PS Recerca (Cap. 3)  No competitiva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</si>
</sst>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4.9989318521683403E-2"/>
        <bgColor theme="0"/>
      </patternFill>
    </fill>
    <fill>
      <patternFill patternType="solid">
        <fgColor indexed="65"/>
        <bgColor theme="0"/>
      </patternFill>
    </fill>
    <fill>
      <patternFill patternType="solid">
        <fgColor theme="0" tint="-0.14996795556505021"/>
        <bgColor theme="0"/>
      </patternFill>
    </fill>
    <fill>
      <patternFill patternType="solid">
        <fgColor theme="0" tint="-0.499984740745262"/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indexed="64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indexed="64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3" borderId="3" xfId="0" applyFill="1" applyBorder="1"/>
    <xf numFmtId="4" fontId="0" fillId="3" borderId="3" xfId="0" applyNumberFormat="1" applyFill="1" applyBorder="1"/>
    <xf numFmtId="0" fontId="3" fillId="4" borderId="2" xfId="0" applyFont="1" applyFill="1" applyBorder="1"/>
    <xf numFmtId="4" fontId="3" fillId="4" borderId="2" xfId="0" applyNumberFormat="1" applyFont="1" applyFill="1" applyBorder="1"/>
    <xf numFmtId="0" fontId="3" fillId="5" borderId="2" xfId="0" applyFont="1" applyFill="1" applyBorder="1"/>
    <xf numFmtId="4" fontId="3" fillId="5" borderId="2" xfId="0" applyNumberFormat="1" applyFont="1" applyFill="1" applyBorder="1"/>
    <xf numFmtId="4" fontId="2" fillId="2" borderId="2" xfId="0" applyNumberFormat="1" applyFont="1" applyFill="1" applyBorder="1"/>
    <xf numFmtId="0" fontId="2" fillId="2" borderId="2" xfId="0" applyFont="1" applyFill="1" applyBorder="1" applyAlignment="1">
      <alignment horizontal="center" vertical="center" wrapText="1"/>
    </xf>
    <xf numFmtId="0" fontId="4" fillId="0" borderId="0" xfId="0" applyFont="1"/>
    <xf numFmtId="0" fontId="3" fillId="3" borderId="3" xfId="0" applyFont="1" applyFill="1" applyBorder="1" applyAlignment="1">
      <alignment horizontal="left"/>
    </xf>
    <xf numFmtId="4" fontId="3" fillId="3" borderId="3" xfId="0" applyNumberFormat="1" applyFont="1" applyFill="1" applyBorder="1"/>
    <xf numFmtId="0" fontId="0" fillId="3" borderId="3" xfId="0" applyFill="1" applyBorder="1" applyAlignment="1">
      <alignment horizontal="left" indent="1"/>
    </xf>
    <xf numFmtId="0" fontId="2" fillId="2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4" fontId="3" fillId="3" borderId="3" xfId="0" applyNumberFormat="1" applyFont="1" applyFill="1" applyBorder="1" applyAlignment="1">
      <alignment vertical="center"/>
    </xf>
    <xf numFmtId="10" fontId="3" fillId="3" borderId="3" xfId="1" applyNumberFormat="1" applyFont="1" applyFill="1" applyBorder="1" applyAlignment="1">
      <alignment vertical="center"/>
    </xf>
    <xf numFmtId="4" fontId="0" fillId="3" borderId="3" xfId="0" applyNumberFormat="1" applyFill="1" applyBorder="1" applyAlignment="1">
      <alignment vertical="center"/>
    </xf>
    <xf numFmtId="10" fontId="0" fillId="3" borderId="3" xfId="1" applyNumberFormat="1" applyFont="1" applyFill="1" applyBorder="1" applyAlignment="1">
      <alignment vertical="center"/>
    </xf>
    <xf numFmtId="10" fontId="0" fillId="3" borderId="3" xfId="1" applyNumberFormat="1" applyFont="1" applyFill="1" applyBorder="1" applyAlignment="1">
      <alignment horizontal="center" vertical="center"/>
    </xf>
    <xf numFmtId="4" fontId="2" fillId="2" borderId="2" xfId="0" applyNumberFormat="1" applyFont="1" applyFill="1" applyBorder="1" applyAlignment="1">
      <alignment vertical="center"/>
    </xf>
    <xf numFmtId="10" fontId="2" fillId="2" borderId="2" xfId="1" applyNumberFormat="1" applyFont="1" applyFill="1" applyBorder="1" applyAlignment="1">
      <alignment vertical="center"/>
    </xf>
    <xf numFmtId="14" fontId="5" fillId="6" borderId="9" xfId="0" applyNumberFormat="1" applyFont="1" applyFill="1" applyBorder="1" applyAlignment="1">
      <alignment horizontal="center" vertical="center" wrapText="1"/>
    </xf>
    <xf numFmtId="14" fontId="5" fillId="6" borderId="10" xfId="0" applyNumberFormat="1" applyFont="1" applyFill="1" applyBorder="1" applyAlignment="1">
      <alignment horizontal="center" vertical="center" wrapText="1"/>
    </xf>
    <xf numFmtId="14" fontId="5" fillId="6" borderId="11" xfId="0" applyNumberFormat="1" applyFont="1" applyFill="1" applyBorder="1" applyAlignment="1">
      <alignment horizontal="center" vertical="center" wrapText="1"/>
    </xf>
    <xf numFmtId="14" fontId="5" fillId="6" borderId="12" xfId="0" applyNumberFormat="1" applyFont="1" applyFill="1" applyBorder="1" applyAlignment="1">
      <alignment horizontal="center" vertical="center" wrapText="1"/>
    </xf>
    <xf numFmtId="14" fontId="5" fillId="6" borderId="13" xfId="0" applyNumberFormat="1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left"/>
    </xf>
    <xf numFmtId="4" fontId="5" fillId="0" borderId="15" xfId="0" applyNumberFormat="1" applyFont="1" applyBorder="1"/>
    <xf numFmtId="4" fontId="5" fillId="0" borderId="16" xfId="0" applyNumberFormat="1" applyFont="1" applyBorder="1"/>
    <xf numFmtId="3" fontId="5" fillId="0" borderId="17" xfId="0" applyNumberFormat="1" applyFont="1" applyBorder="1"/>
    <xf numFmtId="4" fontId="5" fillId="0" borderId="3" xfId="0" applyNumberFormat="1" applyFont="1" applyBorder="1"/>
    <xf numFmtId="4" fontId="5" fillId="0" borderId="17" xfId="0" applyNumberFormat="1" applyFont="1" applyBorder="1"/>
    <xf numFmtId="3" fontId="5" fillId="0" borderId="15" xfId="0" applyNumberFormat="1" applyFont="1" applyBorder="1"/>
    <xf numFmtId="0" fontId="5" fillId="0" borderId="18" xfId="0" applyFont="1" applyBorder="1" applyAlignment="1">
      <alignment horizontal="left"/>
    </xf>
    <xf numFmtId="4" fontId="5" fillId="0" borderId="19" xfId="0" applyNumberFormat="1" applyFont="1" applyBorder="1"/>
    <xf numFmtId="4" fontId="5" fillId="0" borderId="20" xfId="0" applyNumberFormat="1" applyFont="1" applyBorder="1"/>
    <xf numFmtId="3" fontId="5" fillId="0" borderId="21" xfId="0" applyNumberFormat="1" applyFont="1" applyBorder="1"/>
    <xf numFmtId="4" fontId="5" fillId="0" borderId="2" xfId="0" applyNumberFormat="1" applyFont="1" applyBorder="1"/>
    <xf numFmtId="4" fontId="5" fillId="0" borderId="21" xfId="0" applyNumberFormat="1" applyFont="1" applyBorder="1"/>
    <xf numFmtId="3" fontId="5" fillId="0" borderId="19" xfId="0" applyNumberFormat="1" applyFont="1" applyBorder="1"/>
    <xf numFmtId="4" fontId="5" fillId="0" borderId="22" xfId="0" applyNumberFormat="1" applyFont="1" applyBorder="1"/>
    <xf numFmtId="0" fontId="6" fillId="0" borderId="23" xfId="0" applyFont="1" applyBorder="1" applyAlignment="1">
      <alignment horizontal="left" indent="1"/>
    </xf>
    <xf numFmtId="4" fontId="6" fillId="0" borderId="24" xfId="0" applyNumberFormat="1" applyFont="1" applyBorder="1"/>
    <xf numFmtId="4" fontId="6" fillId="0" borderId="25" xfId="0" applyNumberFormat="1" applyFont="1" applyBorder="1"/>
    <xf numFmtId="3" fontId="6" fillId="0" borderId="26" xfId="0" applyNumberFormat="1" applyFont="1" applyBorder="1"/>
    <xf numFmtId="4" fontId="6" fillId="0" borderId="27" xfId="0" applyNumberFormat="1" applyFont="1" applyBorder="1"/>
    <xf numFmtId="4" fontId="6" fillId="0" borderId="26" xfId="0" applyNumberFormat="1" applyFont="1" applyBorder="1"/>
    <xf numFmtId="3" fontId="6" fillId="0" borderId="24" xfId="0" applyNumberFormat="1" applyFont="1" applyBorder="1"/>
    <xf numFmtId="0" fontId="6" fillId="0" borderId="28" xfId="0" applyFont="1" applyBorder="1" applyAlignment="1">
      <alignment horizontal="left" indent="1"/>
    </xf>
    <xf numFmtId="4" fontId="6" fillId="0" borderId="29" xfId="0" applyNumberFormat="1" applyFont="1" applyBorder="1"/>
    <xf numFmtId="4" fontId="6" fillId="0" borderId="30" xfId="0" applyNumberFormat="1" applyFont="1" applyBorder="1"/>
    <xf numFmtId="3" fontId="6" fillId="0" borderId="31" xfId="0" applyNumberFormat="1" applyFont="1" applyBorder="1"/>
    <xf numFmtId="4" fontId="6" fillId="0" borderId="32" xfId="0" applyNumberFormat="1" applyFont="1" applyBorder="1"/>
    <xf numFmtId="4" fontId="6" fillId="0" borderId="31" xfId="0" applyNumberFormat="1" applyFont="1" applyBorder="1"/>
    <xf numFmtId="3" fontId="6" fillId="0" borderId="29" xfId="0" applyNumberFormat="1" applyFont="1" applyBorder="1"/>
    <xf numFmtId="0" fontId="6" fillId="0" borderId="33" xfId="0" applyFont="1" applyBorder="1" applyAlignment="1">
      <alignment horizontal="left" indent="1"/>
    </xf>
    <xf numFmtId="4" fontId="6" fillId="0" borderId="34" xfId="0" applyNumberFormat="1" applyFont="1" applyBorder="1"/>
    <xf numFmtId="4" fontId="6" fillId="0" borderId="35" xfId="0" applyNumberFormat="1" applyFont="1" applyBorder="1"/>
    <xf numFmtId="4" fontId="6" fillId="0" borderId="36" xfId="0" applyNumberFormat="1" applyFont="1" applyBorder="1"/>
    <xf numFmtId="3" fontId="6" fillId="0" borderId="37" xfId="0" applyNumberFormat="1" applyFont="1" applyBorder="1"/>
    <xf numFmtId="4" fontId="6" fillId="0" borderId="37" xfId="0" applyNumberFormat="1" applyFont="1" applyBorder="1"/>
    <xf numFmtId="3" fontId="6" fillId="0" borderId="34" xfId="0" applyNumberFormat="1" applyFont="1" applyBorder="1"/>
    <xf numFmtId="0" fontId="6" fillId="0" borderId="39" xfId="0" applyFont="1" applyBorder="1" applyAlignment="1">
      <alignment horizontal="left" indent="1"/>
    </xf>
    <xf numFmtId="4" fontId="6" fillId="0" borderId="40" xfId="0" applyNumberFormat="1" applyFont="1" applyBorder="1"/>
    <xf numFmtId="4" fontId="6" fillId="0" borderId="41" xfId="0" applyNumberFormat="1" applyFont="1" applyBorder="1"/>
    <xf numFmtId="3" fontId="6" fillId="0" borderId="42" xfId="0" applyNumberFormat="1" applyFont="1" applyBorder="1"/>
    <xf numFmtId="4" fontId="6" fillId="0" borderId="43" xfId="0" applyNumberFormat="1" applyFont="1" applyBorder="1"/>
    <xf numFmtId="4" fontId="6" fillId="0" borderId="42" xfId="0" applyNumberFormat="1" applyFont="1" applyBorder="1"/>
    <xf numFmtId="3" fontId="6" fillId="0" borderId="40" xfId="0" applyNumberFormat="1" applyFont="1" applyBorder="1"/>
    <xf numFmtId="0" fontId="5" fillId="0" borderId="44" xfId="0" applyFont="1" applyBorder="1" applyAlignment="1">
      <alignment horizontal="left"/>
    </xf>
    <xf numFmtId="4" fontId="5" fillId="0" borderId="45" xfId="0" applyNumberFormat="1" applyFont="1" applyBorder="1"/>
    <xf numFmtId="0" fontId="6" fillId="0" borderId="46" xfId="0" applyFont="1" applyBorder="1" applyAlignment="1">
      <alignment horizontal="left" indent="1"/>
    </xf>
    <xf numFmtId="0" fontId="6" fillId="0" borderId="47" xfId="0" applyFont="1" applyBorder="1" applyAlignment="1">
      <alignment horizontal="left" indent="1"/>
    </xf>
    <xf numFmtId="0" fontId="5" fillId="6" borderId="48" xfId="0" applyFont="1" applyFill="1" applyBorder="1" applyAlignment="1">
      <alignment horizontal="left"/>
    </xf>
    <xf numFmtId="4" fontId="5" fillId="6" borderId="49" xfId="0" applyNumberFormat="1" applyFont="1" applyFill="1" applyBorder="1"/>
    <xf numFmtId="4" fontId="5" fillId="6" borderId="50" xfId="0" applyNumberFormat="1" applyFont="1" applyFill="1" applyBorder="1"/>
    <xf numFmtId="3" fontId="5" fillId="6" borderId="51" xfId="0" applyNumberFormat="1" applyFont="1" applyFill="1" applyBorder="1"/>
    <xf numFmtId="4" fontId="5" fillId="6" borderId="52" xfId="0" applyNumberFormat="1" applyFont="1" applyFill="1" applyBorder="1"/>
    <xf numFmtId="4" fontId="5" fillId="6" borderId="51" xfId="0" applyNumberFormat="1" applyFont="1" applyFill="1" applyBorder="1"/>
    <xf numFmtId="3" fontId="5" fillId="6" borderId="49" xfId="0" applyNumberFormat="1" applyFont="1" applyFill="1" applyBorder="1"/>
    <xf numFmtId="4" fontId="5" fillId="6" borderId="53" xfId="0" applyNumberFormat="1" applyFont="1" applyFill="1" applyBorder="1"/>
    <xf numFmtId="14" fontId="5" fillId="6" borderId="54" xfId="0" applyNumberFormat="1" applyFont="1" applyFill="1" applyBorder="1" applyAlignment="1">
      <alignment horizontal="center" vertical="center" wrapText="1"/>
    </xf>
    <xf numFmtId="4" fontId="6" fillId="0" borderId="55" xfId="0" applyNumberFormat="1" applyFont="1" applyBorder="1"/>
    <xf numFmtId="4" fontId="6" fillId="0" borderId="56" xfId="0" applyNumberFormat="1" applyFont="1" applyBorder="1"/>
    <xf numFmtId="4" fontId="6" fillId="0" borderId="57" xfId="0" applyNumberFormat="1" applyFont="1" applyBorder="1"/>
    <xf numFmtId="4" fontId="6" fillId="0" borderId="58" xfId="0" applyNumberFormat="1" applyFont="1" applyBorder="1"/>
    <xf numFmtId="10" fontId="5" fillId="6" borderId="59" xfId="1" applyNumberFormat="1" applyFont="1" applyFill="1" applyBorder="1"/>
    <xf numFmtId="3" fontId="6" fillId="0" borderId="34" xfId="0" applyNumberFormat="1" applyFont="1" applyBorder="1" applyAlignment="1">
      <alignment horizontal="right" vertical="center"/>
    </xf>
    <xf numFmtId="3" fontId="6" fillId="0" borderId="15" xfId="0" applyNumberFormat="1" applyFont="1" applyBorder="1" applyAlignment="1">
      <alignment horizontal="right" vertical="center"/>
    </xf>
    <xf numFmtId="3" fontId="6" fillId="0" borderId="38" xfId="0" applyNumberFormat="1" applyFont="1" applyBorder="1" applyAlignment="1">
      <alignment horizontal="right" vertical="center"/>
    </xf>
    <xf numFmtId="0" fontId="5" fillId="6" borderId="5" xfId="0" quotePrefix="1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6" borderId="7" xfId="0" quotePrefix="1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/>
    </xf>
    <xf numFmtId="0" fontId="5" fillId="6" borderId="6" xfId="0" quotePrefix="1" applyFont="1" applyFill="1" applyBorder="1" applyAlignment="1">
      <alignment horizontal="center"/>
    </xf>
    <xf numFmtId="0" fontId="6" fillId="7" borderId="47" xfId="0" applyFont="1" applyFill="1" applyBorder="1" applyAlignment="1">
      <alignment horizontal="left" indent="1"/>
    </xf>
  </cellXfs>
  <cellStyles count="2">
    <cellStyle name="Normal" xfId="0" builtinId="0"/>
    <cellStyle name="Percentat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322A6-6A37-405D-8F98-9CD98296B9BB}">
  <dimension ref="A1:S319"/>
  <sheetViews>
    <sheetView topLeftCell="E1" workbookViewId="0">
      <pane ySplit="3" topLeftCell="A292" activePane="bottomLeft" state="frozen"/>
      <selection pane="bottomLeft" activeCell="J309" sqref="J309"/>
    </sheetView>
  </sheetViews>
  <sheetFormatPr defaultColWidth="10.77734375" defaultRowHeight="14.4" x14ac:dyDescent="0.3"/>
  <cols>
    <col min="1" max="1" width="50.44140625" bestFit="1" customWidth="1"/>
    <col min="2" max="2" width="9.109375" bestFit="1" customWidth="1"/>
    <col min="3" max="3" width="6" bestFit="1" customWidth="1"/>
    <col min="4" max="4" width="47" bestFit="1" customWidth="1"/>
    <col min="5" max="5" width="5.44140625" bestFit="1" customWidth="1"/>
    <col min="6" max="6" width="46" bestFit="1" customWidth="1"/>
    <col min="7" max="15" width="16.33203125" bestFit="1" customWidth="1"/>
    <col min="16" max="16" width="15" bestFit="1" customWidth="1"/>
    <col min="18" max="18" width="12.6640625" bestFit="1" customWidth="1"/>
  </cols>
  <sheetData>
    <row r="1" spans="1:16" x14ac:dyDescent="0.3">
      <c r="A1" s="11" t="s">
        <v>391</v>
      </c>
    </row>
    <row r="3" spans="1:16" ht="28.8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0" t="s">
        <v>381</v>
      </c>
      <c r="H3" s="10" t="s">
        <v>382</v>
      </c>
      <c r="I3" s="10" t="s">
        <v>383</v>
      </c>
      <c r="J3" s="10" t="s">
        <v>384</v>
      </c>
      <c r="K3" s="10" t="s">
        <v>385</v>
      </c>
      <c r="L3" s="10" t="s">
        <v>386</v>
      </c>
      <c r="M3" s="10" t="s">
        <v>387</v>
      </c>
      <c r="N3" s="10" t="s">
        <v>388</v>
      </c>
      <c r="O3" s="10" t="s">
        <v>389</v>
      </c>
      <c r="P3" s="10" t="s">
        <v>390</v>
      </c>
    </row>
    <row r="4" spans="1:16" x14ac:dyDescent="0.3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4">
        <v>0</v>
      </c>
      <c r="H4" s="4">
        <v>-42919.84000000004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f>+O4-N4</f>
        <v>0</v>
      </c>
    </row>
    <row r="5" spans="1:16" x14ac:dyDescent="0.3">
      <c r="A5" s="3"/>
      <c r="B5" s="5" t="s">
        <v>20</v>
      </c>
      <c r="C5" s="5"/>
      <c r="D5" s="5"/>
      <c r="E5" s="5"/>
      <c r="F5" s="5"/>
      <c r="G5" s="6">
        <f>SUM(G4)</f>
        <v>0</v>
      </c>
      <c r="H5" s="6">
        <f t="shared" ref="H5:O5" si="0">SUM(H4)</f>
        <v>-42919.84000000004</v>
      </c>
      <c r="I5" s="6">
        <f t="shared" si="0"/>
        <v>0</v>
      </c>
      <c r="J5" s="6">
        <f t="shared" si="0"/>
        <v>0</v>
      </c>
      <c r="K5" s="6">
        <f t="shared" si="0"/>
        <v>0</v>
      </c>
      <c r="L5" s="6">
        <f t="shared" si="0"/>
        <v>0</v>
      </c>
      <c r="M5" s="6">
        <f t="shared" si="0"/>
        <v>0</v>
      </c>
      <c r="N5" s="6">
        <f t="shared" si="0"/>
        <v>0</v>
      </c>
      <c r="O5" s="6">
        <f t="shared" si="0"/>
        <v>0</v>
      </c>
      <c r="P5" s="6">
        <f t="shared" ref="P5:P63" si="1">+O5-N5</f>
        <v>0</v>
      </c>
    </row>
    <row r="6" spans="1:16" x14ac:dyDescent="0.3">
      <c r="A6" s="3"/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11400</v>
      </c>
      <c r="O6" s="4">
        <v>0</v>
      </c>
      <c r="P6" s="4">
        <f t="shared" si="1"/>
        <v>-11400</v>
      </c>
    </row>
    <row r="7" spans="1:16" x14ac:dyDescent="0.3">
      <c r="A7" s="3"/>
      <c r="B7" s="3"/>
      <c r="C7" s="3"/>
      <c r="D7" s="3"/>
      <c r="E7" s="3" t="s">
        <v>26</v>
      </c>
      <c r="F7" s="3" t="s">
        <v>27</v>
      </c>
      <c r="G7" s="4">
        <v>859338.06</v>
      </c>
      <c r="H7" s="4">
        <v>1267721.28</v>
      </c>
      <c r="I7" s="4">
        <v>631283.87</v>
      </c>
      <c r="J7" s="4">
        <v>12000</v>
      </c>
      <c r="K7" s="4">
        <v>0</v>
      </c>
      <c r="L7" s="4">
        <v>244450</v>
      </c>
      <c r="M7" s="4">
        <v>240200</v>
      </c>
      <c r="N7" s="4">
        <v>0</v>
      </c>
      <c r="O7" s="4">
        <v>0</v>
      </c>
      <c r="P7" s="4">
        <f t="shared" si="1"/>
        <v>0</v>
      </c>
    </row>
    <row r="8" spans="1:16" x14ac:dyDescent="0.3">
      <c r="A8" s="3"/>
      <c r="B8" s="3"/>
      <c r="C8" s="3"/>
      <c r="D8" s="3"/>
      <c r="E8" s="3" t="s">
        <v>28</v>
      </c>
      <c r="F8" s="3" t="s">
        <v>29</v>
      </c>
      <c r="G8" s="4">
        <v>1634909.0900000003</v>
      </c>
      <c r="H8" s="4">
        <v>1965336.32</v>
      </c>
      <c r="I8" s="4">
        <v>1620991.3399999994</v>
      </c>
      <c r="J8" s="4">
        <v>1244533.2799999998</v>
      </c>
      <c r="K8" s="4">
        <v>1248697.3199999998</v>
      </c>
      <c r="L8" s="4">
        <v>1147279.04</v>
      </c>
      <c r="M8" s="4">
        <v>1356071.04</v>
      </c>
      <c r="N8" s="4">
        <v>1604775.29</v>
      </c>
      <c r="O8" s="4">
        <v>1919454.4299999997</v>
      </c>
      <c r="P8" s="4">
        <f t="shared" si="1"/>
        <v>314679.13999999966</v>
      </c>
    </row>
    <row r="9" spans="1:16" x14ac:dyDescent="0.3">
      <c r="A9" s="3"/>
      <c r="B9" s="3"/>
      <c r="C9" s="3"/>
      <c r="D9" s="3"/>
      <c r="E9" s="3" t="s">
        <v>30</v>
      </c>
      <c r="F9" s="3" t="s">
        <v>31</v>
      </c>
      <c r="G9" s="4">
        <v>39000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f t="shared" si="1"/>
        <v>0</v>
      </c>
    </row>
    <row r="10" spans="1:16" x14ac:dyDescent="0.3">
      <c r="A10" s="3"/>
      <c r="B10" s="3"/>
      <c r="C10" s="3"/>
      <c r="D10" s="3"/>
      <c r="E10" s="3" t="s">
        <v>32</v>
      </c>
      <c r="F10" s="3" t="s">
        <v>33</v>
      </c>
      <c r="G10" s="4">
        <v>46527.28</v>
      </c>
      <c r="H10" s="4">
        <v>138157.70000000001</v>
      </c>
      <c r="I10" s="4">
        <v>113746.78</v>
      </c>
      <c r="J10" s="4">
        <v>81557.87</v>
      </c>
      <c r="K10" s="4">
        <v>57111.7</v>
      </c>
      <c r="L10" s="4">
        <v>13206.3</v>
      </c>
      <c r="M10" s="4">
        <v>7560.7599999999993</v>
      </c>
      <c r="N10" s="4">
        <v>0</v>
      </c>
      <c r="O10" s="4">
        <v>0</v>
      </c>
      <c r="P10" s="4">
        <f t="shared" si="1"/>
        <v>0</v>
      </c>
    </row>
    <row r="11" spans="1:16" x14ac:dyDescent="0.3">
      <c r="A11" s="3"/>
      <c r="B11" s="3"/>
      <c r="C11" s="3"/>
      <c r="D11" s="3"/>
      <c r="E11" s="3" t="s">
        <v>34</v>
      </c>
      <c r="F11" s="3" t="s">
        <v>35</v>
      </c>
      <c r="G11" s="4">
        <v>232776.68999999997</v>
      </c>
      <c r="H11" s="4">
        <v>274534.91999999993</v>
      </c>
      <c r="I11" s="4">
        <v>214486.38999999998</v>
      </c>
      <c r="J11" s="4">
        <v>229137.72000000003</v>
      </c>
      <c r="K11" s="4">
        <v>792927.16999999969</v>
      </c>
      <c r="L11" s="4">
        <v>538461.88000000012</v>
      </c>
      <c r="M11" s="4">
        <v>393822.19000000006</v>
      </c>
      <c r="N11" s="4">
        <v>478930.22000000003</v>
      </c>
      <c r="O11" s="4">
        <v>477826.63</v>
      </c>
      <c r="P11" s="4">
        <f t="shared" si="1"/>
        <v>-1103.5900000000256</v>
      </c>
    </row>
    <row r="12" spans="1:16" x14ac:dyDescent="0.3">
      <c r="A12" s="3"/>
      <c r="B12" s="3"/>
      <c r="C12" s="3"/>
      <c r="D12" s="3"/>
      <c r="E12" s="3" t="s">
        <v>36</v>
      </c>
      <c r="F12" s="3" t="s">
        <v>37</v>
      </c>
      <c r="G12" s="4">
        <v>5950.41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f t="shared" si="1"/>
        <v>0</v>
      </c>
    </row>
    <row r="13" spans="1:16" x14ac:dyDescent="0.3">
      <c r="A13" s="3"/>
      <c r="B13" s="3"/>
      <c r="C13" s="3"/>
      <c r="D13" s="3"/>
      <c r="E13" s="3" t="s">
        <v>38</v>
      </c>
      <c r="F13" s="3" t="s">
        <v>39</v>
      </c>
      <c r="G13" s="4">
        <v>0</v>
      </c>
      <c r="H13" s="4">
        <v>0</v>
      </c>
      <c r="I13" s="4">
        <v>2975.21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f t="shared" si="1"/>
        <v>0</v>
      </c>
    </row>
    <row r="14" spans="1:16" x14ac:dyDescent="0.3">
      <c r="A14" s="3"/>
      <c r="B14" s="3"/>
      <c r="C14" s="3" t="s">
        <v>40</v>
      </c>
      <c r="D14" s="3" t="s">
        <v>41</v>
      </c>
      <c r="E14" s="3" t="s">
        <v>24</v>
      </c>
      <c r="F14" s="3" t="s">
        <v>25</v>
      </c>
      <c r="G14" s="4">
        <v>20329.86</v>
      </c>
      <c r="H14" s="4">
        <v>20359.82</v>
      </c>
      <c r="I14" s="4">
        <v>22292.66</v>
      </c>
      <c r="J14" s="4">
        <v>19733.330000000002</v>
      </c>
      <c r="K14" s="4">
        <v>28066.660000000003</v>
      </c>
      <c r="L14" s="4">
        <v>19733.330000000002</v>
      </c>
      <c r="M14" s="4">
        <v>11400</v>
      </c>
      <c r="N14" s="4">
        <v>0</v>
      </c>
      <c r="O14" s="4">
        <v>0</v>
      </c>
      <c r="P14" s="4">
        <f t="shared" si="1"/>
        <v>0</v>
      </c>
    </row>
    <row r="15" spans="1:16" x14ac:dyDescent="0.3">
      <c r="A15" s="3"/>
      <c r="B15" s="3"/>
      <c r="C15" s="3"/>
      <c r="D15" s="3"/>
      <c r="E15" s="3" t="s">
        <v>30</v>
      </c>
      <c r="F15" s="3" t="s">
        <v>31</v>
      </c>
      <c r="G15" s="4">
        <v>13215</v>
      </c>
      <c r="H15" s="4">
        <v>3918.75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f t="shared" si="1"/>
        <v>0</v>
      </c>
    </row>
    <row r="16" spans="1:16" x14ac:dyDescent="0.3">
      <c r="A16" s="3"/>
      <c r="B16" s="3"/>
      <c r="C16" s="3" t="s">
        <v>42</v>
      </c>
      <c r="D16" s="3" t="s">
        <v>43</v>
      </c>
      <c r="E16" s="3" t="s">
        <v>28</v>
      </c>
      <c r="F16" s="3" t="s">
        <v>29</v>
      </c>
      <c r="G16" s="4">
        <v>128367.29000000001</v>
      </c>
      <c r="H16" s="4">
        <v>58295.1</v>
      </c>
      <c r="I16" s="4">
        <v>141831.90999999997</v>
      </c>
      <c r="J16" s="4">
        <v>97188.06</v>
      </c>
      <c r="K16" s="4">
        <v>-275.2</v>
      </c>
      <c r="L16" s="4">
        <v>0</v>
      </c>
      <c r="M16" s="4">
        <v>0</v>
      </c>
      <c r="N16" s="4">
        <v>0</v>
      </c>
      <c r="O16" s="4">
        <v>0</v>
      </c>
      <c r="P16" s="4">
        <f t="shared" si="1"/>
        <v>0</v>
      </c>
    </row>
    <row r="17" spans="1:16" x14ac:dyDescent="0.3">
      <c r="A17" s="3"/>
      <c r="B17" s="3"/>
      <c r="C17" s="3"/>
      <c r="D17" s="3"/>
      <c r="E17" s="3" t="s">
        <v>34</v>
      </c>
      <c r="F17" s="3" t="s">
        <v>35</v>
      </c>
      <c r="G17" s="4">
        <v>0</v>
      </c>
      <c r="H17" s="4">
        <v>0</v>
      </c>
      <c r="I17" s="4">
        <v>28001</v>
      </c>
      <c r="J17" s="4">
        <v>82043.459999999977</v>
      </c>
      <c r="K17" s="4">
        <v>190911.60000000003</v>
      </c>
      <c r="L17" s="4">
        <v>191594.7699999999</v>
      </c>
      <c r="M17" s="4">
        <v>163392.66000000009</v>
      </c>
      <c r="N17" s="4">
        <v>207197.41</v>
      </c>
      <c r="O17" s="4">
        <v>70179.049999999959</v>
      </c>
      <c r="P17" s="4">
        <f t="shared" si="1"/>
        <v>-137018.36000000004</v>
      </c>
    </row>
    <row r="18" spans="1:16" x14ac:dyDescent="0.3">
      <c r="A18" s="3"/>
      <c r="B18" s="3"/>
      <c r="C18" s="3" t="s">
        <v>44</v>
      </c>
      <c r="D18" s="3" t="s">
        <v>45</v>
      </c>
      <c r="E18" s="3" t="s">
        <v>46</v>
      </c>
      <c r="F18" s="3" t="s">
        <v>47</v>
      </c>
      <c r="G18" s="4">
        <v>-25444.67</v>
      </c>
      <c r="H18" s="4">
        <v>25444.67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f t="shared" si="1"/>
        <v>0</v>
      </c>
    </row>
    <row r="19" spans="1:16" x14ac:dyDescent="0.3">
      <c r="A19" s="3"/>
      <c r="B19" s="3"/>
      <c r="C19" s="3"/>
      <c r="D19" s="3"/>
      <c r="E19" s="3" t="s">
        <v>34</v>
      </c>
      <c r="F19" s="3" t="s">
        <v>35</v>
      </c>
      <c r="G19" s="4">
        <v>0</v>
      </c>
      <c r="H19" s="4">
        <v>0</v>
      </c>
      <c r="I19" s="4">
        <v>0</v>
      </c>
      <c r="J19" s="4">
        <v>2553</v>
      </c>
      <c r="K19" s="4">
        <v>60</v>
      </c>
      <c r="L19" s="4">
        <v>0</v>
      </c>
      <c r="M19" s="4">
        <v>0</v>
      </c>
      <c r="N19" s="4">
        <v>0</v>
      </c>
      <c r="O19" s="4">
        <v>0</v>
      </c>
      <c r="P19" s="4">
        <f t="shared" si="1"/>
        <v>0</v>
      </c>
    </row>
    <row r="20" spans="1:16" x14ac:dyDescent="0.3">
      <c r="A20" s="3"/>
      <c r="B20" s="3"/>
      <c r="C20" s="3" t="s">
        <v>48</v>
      </c>
      <c r="D20" s="3" t="s">
        <v>49</v>
      </c>
      <c r="E20" s="3" t="s">
        <v>28</v>
      </c>
      <c r="F20" s="3" t="s">
        <v>29</v>
      </c>
      <c r="G20" s="4">
        <v>0</v>
      </c>
      <c r="H20" s="4">
        <v>0</v>
      </c>
      <c r="I20" s="4">
        <v>266.10000000000002</v>
      </c>
      <c r="J20" s="4">
        <v>1518.99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f t="shared" si="1"/>
        <v>0</v>
      </c>
    </row>
    <row r="21" spans="1:16" x14ac:dyDescent="0.3">
      <c r="A21" s="3"/>
      <c r="B21" s="3"/>
      <c r="C21" s="3"/>
      <c r="D21" s="3"/>
      <c r="E21" s="3" t="s">
        <v>46</v>
      </c>
      <c r="F21" s="3" t="s">
        <v>47</v>
      </c>
      <c r="G21" s="4">
        <v>25444.67</v>
      </c>
      <c r="H21" s="4">
        <v>4000</v>
      </c>
      <c r="I21" s="4">
        <v>0</v>
      </c>
      <c r="J21" s="4">
        <v>0</v>
      </c>
      <c r="K21" s="4">
        <v>3073.83</v>
      </c>
      <c r="L21" s="4">
        <v>3037.83</v>
      </c>
      <c r="M21" s="4">
        <v>0</v>
      </c>
      <c r="N21" s="4">
        <v>0</v>
      </c>
      <c r="O21" s="4">
        <v>0</v>
      </c>
      <c r="P21" s="4">
        <f t="shared" si="1"/>
        <v>0</v>
      </c>
    </row>
    <row r="22" spans="1:16" x14ac:dyDescent="0.3">
      <c r="A22" s="3"/>
      <c r="B22" s="3"/>
      <c r="C22" s="3"/>
      <c r="D22" s="3"/>
      <c r="E22" s="3" t="s">
        <v>50</v>
      </c>
      <c r="F22" s="3" t="s">
        <v>51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14101.66</v>
      </c>
      <c r="N22" s="4">
        <v>27856.86</v>
      </c>
      <c r="O22" s="4">
        <v>0</v>
      </c>
      <c r="P22" s="4">
        <f t="shared" si="1"/>
        <v>-27856.86</v>
      </c>
    </row>
    <row r="23" spans="1:16" x14ac:dyDescent="0.3">
      <c r="A23" s="3"/>
      <c r="B23" s="3"/>
      <c r="C23" s="3"/>
      <c r="D23" s="3"/>
      <c r="E23" s="3" t="s">
        <v>34</v>
      </c>
      <c r="F23" s="3" t="s">
        <v>35</v>
      </c>
      <c r="G23" s="4">
        <v>2132.36</v>
      </c>
      <c r="H23" s="4">
        <v>1927.5</v>
      </c>
      <c r="I23" s="4">
        <v>13784.9</v>
      </c>
      <c r="J23" s="4">
        <v>6829.91</v>
      </c>
      <c r="K23" s="4">
        <v>22822.159999999996</v>
      </c>
      <c r="L23" s="4">
        <v>3189.3999999999996</v>
      </c>
      <c r="M23" s="4">
        <v>36963.360000000001</v>
      </c>
      <c r="N23" s="4">
        <v>113434.23</v>
      </c>
      <c r="O23" s="4">
        <v>135781.77000000002</v>
      </c>
      <c r="P23" s="4">
        <f t="shared" si="1"/>
        <v>22347.540000000023</v>
      </c>
    </row>
    <row r="24" spans="1:16" x14ac:dyDescent="0.3">
      <c r="A24" s="3"/>
      <c r="B24" s="3"/>
      <c r="C24" s="3"/>
      <c r="D24" s="3"/>
      <c r="E24" s="3" t="s">
        <v>52</v>
      </c>
      <c r="F24" s="3" t="s">
        <v>53</v>
      </c>
      <c r="G24" s="4">
        <v>0</v>
      </c>
      <c r="H24" s="4">
        <v>0</v>
      </c>
      <c r="I24" s="4">
        <v>0</v>
      </c>
      <c r="J24" s="4">
        <v>0</v>
      </c>
      <c r="K24" s="4">
        <v>-6930.33</v>
      </c>
      <c r="L24" s="4">
        <v>0</v>
      </c>
      <c r="M24" s="4">
        <v>0</v>
      </c>
      <c r="N24" s="4">
        <v>0</v>
      </c>
      <c r="O24" s="4">
        <v>0</v>
      </c>
      <c r="P24" s="4">
        <f t="shared" si="1"/>
        <v>0</v>
      </c>
    </row>
    <row r="25" spans="1:16" x14ac:dyDescent="0.3">
      <c r="A25" s="3"/>
      <c r="B25" s="3"/>
      <c r="C25" s="3"/>
      <c r="D25" s="3"/>
      <c r="E25" s="3" t="s">
        <v>36</v>
      </c>
      <c r="F25" s="3" t="s">
        <v>37</v>
      </c>
      <c r="G25" s="4">
        <v>0</v>
      </c>
      <c r="H25" s="4">
        <v>0</v>
      </c>
      <c r="I25" s="4">
        <v>0</v>
      </c>
      <c r="J25" s="4">
        <v>36049</v>
      </c>
      <c r="K25" s="4">
        <v>31814.41</v>
      </c>
      <c r="L25" s="4">
        <v>19732.8</v>
      </c>
      <c r="M25" s="4">
        <v>0</v>
      </c>
      <c r="N25" s="4">
        <v>0</v>
      </c>
      <c r="O25" s="4">
        <v>0</v>
      </c>
      <c r="P25" s="4">
        <f t="shared" si="1"/>
        <v>0</v>
      </c>
    </row>
    <row r="26" spans="1:16" x14ac:dyDescent="0.3">
      <c r="A26" s="3"/>
      <c r="B26" s="3"/>
      <c r="C26" s="3"/>
      <c r="D26" s="3"/>
      <c r="E26" s="3" t="s">
        <v>54</v>
      </c>
      <c r="F26" s="3" t="s">
        <v>55</v>
      </c>
      <c r="G26" s="4">
        <v>0</v>
      </c>
      <c r="H26" s="4">
        <v>0</v>
      </c>
      <c r="I26" s="4">
        <v>0</v>
      </c>
      <c r="J26" s="4">
        <v>15000</v>
      </c>
      <c r="K26" s="4">
        <v>21329.11</v>
      </c>
      <c r="L26" s="4">
        <v>21329.11</v>
      </c>
      <c r="M26" s="4">
        <v>0</v>
      </c>
      <c r="N26" s="4">
        <v>0</v>
      </c>
      <c r="O26" s="4">
        <v>0</v>
      </c>
      <c r="P26" s="4">
        <f t="shared" si="1"/>
        <v>0</v>
      </c>
    </row>
    <row r="27" spans="1:16" x14ac:dyDescent="0.3">
      <c r="A27" s="3"/>
      <c r="B27" s="3"/>
      <c r="C27" s="3"/>
      <c r="D27" s="3"/>
      <c r="E27" s="3" t="s">
        <v>56</v>
      </c>
      <c r="F27" s="3" t="s">
        <v>57</v>
      </c>
      <c r="G27" s="4">
        <v>0</v>
      </c>
      <c r="H27" s="4">
        <v>0</v>
      </c>
      <c r="I27" s="4">
        <v>0</v>
      </c>
      <c r="J27" s="4">
        <v>4000</v>
      </c>
      <c r="K27" s="4">
        <v>4000</v>
      </c>
      <c r="L27" s="4">
        <v>10611.57</v>
      </c>
      <c r="M27" s="4">
        <v>0</v>
      </c>
      <c r="N27" s="4">
        <v>0</v>
      </c>
      <c r="O27" s="4">
        <v>0</v>
      </c>
      <c r="P27" s="4">
        <f t="shared" si="1"/>
        <v>0</v>
      </c>
    </row>
    <row r="28" spans="1:16" x14ac:dyDescent="0.3">
      <c r="A28" s="3"/>
      <c r="B28" s="3"/>
      <c r="C28" s="3"/>
      <c r="D28" s="3"/>
      <c r="E28" s="3" t="s">
        <v>58</v>
      </c>
      <c r="F28" s="3" t="s">
        <v>59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8500</v>
      </c>
      <c r="P28" s="4">
        <f t="shared" si="1"/>
        <v>8500</v>
      </c>
    </row>
    <row r="29" spans="1:16" x14ac:dyDescent="0.3">
      <c r="A29" s="3"/>
      <c r="B29" s="3"/>
      <c r="C29" s="3"/>
      <c r="D29" s="3"/>
      <c r="E29" s="3" t="s">
        <v>60</v>
      </c>
      <c r="F29" s="3" t="s">
        <v>61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760</v>
      </c>
      <c r="O29" s="4">
        <v>0</v>
      </c>
      <c r="P29" s="4">
        <f t="shared" si="1"/>
        <v>-760</v>
      </c>
    </row>
    <row r="30" spans="1:16" x14ac:dyDescent="0.3">
      <c r="A30" s="3"/>
      <c r="B30" s="3"/>
      <c r="C30" s="3" t="s">
        <v>62</v>
      </c>
      <c r="D30" s="3" t="s">
        <v>63</v>
      </c>
      <c r="E30" s="3" t="s">
        <v>28</v>
      </c>
      <c r="F30" s="3" t="s">
        <v>29</v>
      </c>
      <c r="G30" s="4">
        <v>25725.760000000002</v>
      </c>
      <c r="H30" s="4">
        <v>20396.690000000002</v>
      </c>
      <c r="I30" s="4">
        <v>15456.93</v>
      </c>
      <c r="J30" s="4">
        <v>5088.4600000000009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f t="shared" si="1"/>
        <v>0</v>
      </c>
    </row>
    <row r="31" spans="1:16" x14ac:dyDescent="0.3">
      <c r="A31" s="3"/>
      <c r="B31" s="3"/>
      <c r="C31" s="3"/>
      <c r="D31" s="3"/>
      <c r="E31" s="3" t="s">
        <v>34</v>
      </c>
      <c r="F31" s="3" t="s">
        <v>35</v>
      </c>
      <c r="G31" s="4">
        <v>0</v>
      </c>
      <c r="H31" s="4">
        <v>0</v>
      </c>
      <c r="I31" s="4">
        <v>0</v>
      </c>
      <c r="J31" s="4">
        <v>18846.039999999997</v>
      </c>
      <c r="K31" s="4">
        <v>29540.929999999997</v>
      </c>
      <c r="L31" s="4">
        <v>22127.010000000002</v>
      </c>
      <c r="M31" s="4">
        <v>20064.8</v>
      </c>
      <c r="N31" s="4">
        <v>34189.009999999987</v>
      </c>
      <c r="O31" s="4">
        <v>28912.819999999992</v>
      </c>
      <c r="P31" s="4">
        <f t="shared" si="1"/>
        <v>-5276.1899999999951</v>
      </c>
    </row>
    <row r="32" spans="1:16" x14ac:dyDescent="0.3">
      <c r="A32" s="3"/>
      <c r="B32" s="3"/>
      <c r="C32" s="3" t="s">
        <v>64</v>
      </c>
      <c r="D32" s="3" t="s">
        <v>65</v>
      </c>
      <c r="E32" s="3" t="s">
        <v>28</v>
      </c>
      <c r="F32" s="3" t="s">
        <v>29</v>
      </c>
      <c r="G32" s="4">
        <v>42302.43</v>
      </c>
      <c r="H32" s="4">
        <v>51635.19</v>
      </c>
      <c r="I32" s="4">
        <v>74726.710000000006</v>
      </c>
      <c r="J32" s="4">
        <v>62779.779999999992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f t="shared" si="1"/>
        <v>0</v>
      </c>
    </row>
    <row r="33" spans="1:16" x14ac:dyDescent="0.3">
      <c r="A33" s="3"/>
      <c r="B33" s="3"/>
      <c r="C33" s="3"/>
      <c r="D33" s="3"/>
      <c r="E33" s="3" t="s">
        <v>34</v>
      </c>
      <c r="F33" s="3" t="s">
        <v>35</v>
      </c>
      <c r="G33" s="4">
        <v>0</v>
      </c>
      <c r="H33" s="4">
        <v>0</v>
      </c>
      <c r="I33" s="4">
        <v>0</v>
      </c>
      <c r="J33" s="4">
        <v>0</v>
      </c>
      <c r="K33" s="4">
        <v>33643.14</v>
      </c>
      <c r="L33" s="4">
        <v>53149.12999999999</v>
      </c>
      <c r="M33" s="4">
        <v>23329.89</v>
      </c>
      <c r="N33" s="4">
        <v>36970.99</v>
      </c>
      <c r="O33" s="4">
        <v>42054.450000000004</v>
      </c>
      <c r="P33" s="4">
        <f t="shared" si="1"/>
        <v>5083.4600000000064</v>
      </c>
    </row>
    <row r="34" spans="1:16" x14ac:dyDescent="0.3">
      <c r="A34" s="3"/>
      <c r="B34" s="5" t="s">
        <v>66</v>
      </c>
      <c r="C34" s="5"/>
      <c r="D34" s="5"/>
      <c r="E34" s="5"/>
      <c r="F34" s="5"/>
      <c r="G34" s="6">
        <f>SUM(G6:G33)</f>
        <v>3050574.23</v>
      </c>
      <c r="H34" s="6">
        <f t="shared" ref="H34:O34" si="2">SUM(H6:H33)</f>
        <v>3831727.94</v>
      </c>
      <c r="I34" s="6">
        <f t="shared" si="2"/>
        <v>2879843.8</v>
      </c>
      <c r="J34" s="6">
        <f t="shared" si="2"/>
        <v>1918858.9</v>
      </c>
      <c r="K34" s="6">
        <f t="shared" si="2"/>
        <v>2456792.5</v>
      </c>
      <c r="L34" s="6">
        <f t="shared" si="2"/>
        <v>2287902.1699999995</v>
      </c>
      <c r="M34" s="6">
        <f t="shared" si="2"/>
        <v>2266906.3600000003</v>
      </c>
      <c r="N34" s="6">
        <f t="shared" si="2"/>
        <v>2515514.0099999998</v>
      </c>
      <c r="O34" s="6">
        <f t="shared" si="2"/>
        <v>2682709.1499999994</v>
      </c>
      <c r="P34" s="6">
        <f t="shared" si="1"/>
        <v>167195.13999999966</v>
      </c>
    </row>
    <row r="35" spans="1:16" x14ac:dyDescent="0.3">
      <c r="A35" s="3"/>
      <c r="B35" s="3" t="s">
        <v>67</v>
      </c>
      <c r="C35" s="3" t="s">
        <v>68</v>
      </c>
      <c r="D35" s="3" t="s">
        <v>69</v>
      </c>
      <c r="E35" s="3" t="s">
        <v>28</v>
      </c>
      <c r="F35" s="3" t="s">
        <v>29</v>
      </c>
      <c r="G35" s="4">
        <v>0</v>
      </c>
      <c r="H35" s="4">
        <v>0</v>
      </c>
      <c r="I35" s="4">
        <v>1000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f t="shared" si="1"/>
        <v>0</v>
      </c>
    </row>
    <row r="36" spans="1:16" x14ac:dyDescent="0.3">
      <c r="A36" s="3"/>
      <c r="B36" s="3"/>
      <c r="C36" s="3" t="s">
        <v>70</v>
      </c>
      <c r="D36" s="3" t="s">
        <v>71</v>
      </c>
      <c r="E36" s="3" t="s">
        <v>34</v>
      </c>
      <c r="F36" s="3" t="s">
        <v>35</v>
      </c>
      <c r="G36" s="4">
        <v>0</v>
      </c>
      <c r="H36" s="4">
        <v>0</v>
      </c>
      <c r="I36" s="4">
        <v>0</v>
      </c>
      <c r="J36" s="4">
        <v>1766.3</v>
      </c>
      <c r="K36" s="4">
        <v>43811.69</v>
      </c>
      <c r="L36" s="4">
        <v>40765.67</v>
      </c>
      <c r="M36" s="4">
        <v>47679.199999999997</v>
      </c>
      <c r="N36" s="4">
        <v>29339.75</v>
      </c>
      <c r="O36" s="4">
        <v>39183.199999999997</v>
      </c>
      <c r="P36" s="4">
        <f t="shared" si="1"/>
        <v>9843.4499999999971</v>
      </c>
    </row>
    <row r="37" spans="1:16" x14ac:dyDescent="0.3">
      <c r="A37" s="3"/>
      <c r="B37" s="3"/>
      <c r="C37" s="3" t="s">
        <v>72</v>
      </c>
      <c r="D37" s="3" t="s">
        <v>65</v>
      </c>
      <c r="E37" s="3" t="s">
        <v>60</v>
      </c>
      <c r="F37" s="3" t="s">
        <v>61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139.63</v>
      </c>
      <c r="P37" s="4">
        <f t="shared" si="1"/>
        <v>139.63</v>
      </c>
    </row>
    <row r="38" spans="1:16" x14ac:dyDescent="0.3">
      <c r="A38" s="3"/>
      <c r="B38" s="3"/>
      <c r="C38" s="3"/>
      <c r="D38" s="3" t="s">
        <v>73</v>
      </c>
      <c r="E38" s="3" t="s">
        <v>60</v>
      </c>
      <c r="F38" s="3" t="s">
        <v>61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377.22</v>
      </c>
      <c r="N38" s="4">
        <v>0</v>
      </c>
      <c r="O38" s="4">
        <v>0</v>
      </c>
      <c r="P38" s="4">
        <f t="shared" si="1"/>
        <v>0</v>
      </c>
    </row>
    <row r="39" spans="1:16" x14ac:dyDescent="0.3">
      <c r="A39" s="3"/>
      <c r="B39" s="5" t="s">
        <v>74</v>
      </c>
      <c r="C39" s="5"/>
      <c r="D39" s="5"/>
      <c r="E39" s="5"/>
      <c r="F39" s="5"/>
      <c r="G39" s="6">
        <f>SUM(G35:G38)</f>
        <v>0</v>
      </c>
      <c r="H39" s="6">
        <f t="shared" ref="H39:O39" si="3">SUM(H35:H38)</f>
        <v>0</v>
      </c>
      <c r="I39" s="6">
        <f t="shared" si="3"/>
        <v>1000</v>
      </c>
      <c r="J39" s="6">
        <f t="shared" si="3"/>
        <v>1766.3</v>
      </c>
      <c r="K39" s="6">
        <f t="shared" si="3"/>
        <v>43811.69</v>
      </c>
      <c r="L39" s="6">
        <f t="shared" si="3"/>
        <v>40765.67</v>
      </c>
      <c r="M39" s="6">
        <f t="shared" si="3"/>
        <v>48056.42</v>
      </c>
      <c r="N39" s="6">
        <f t="shared" si="3"/>
        <v>29339.75</v>
      </c>
      <c r="O39" s="6">
        <f t="shared" si="3"/>
        <v>39322.829999999994</v>
      </c>
      <c r="P39" s="6">
        <f t="shared" si="1"/>
        <v>9983.0799999999945</v>
      </c>
    </row>
    <row r="40" spans="1:16" x14ac:dyDescent="0.3">
      <c r="A40" s="3"/>
      <c r="B40" s="3" t="s">
        <v>75</v>
      </c>
      <c r="C40" s="3" t="s">
        <v>76</v>
      </c>
      <c r="D40" s="3" t="s">
        <v>77</v>
      </c>
      <c r="E40" s="3" t="s">
        <v>28</v>
      </c>
      <c r="F40" s="3" t="s">
        <v>29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3773.13</v>
      </c>
      <c r="M40" s="4">
        <v>0</v>
      </c>
      <c r="N40" s="4">
        <v>0</v>
      </c>
      <c r="O40" s="4">
        <v>0</v>
      </c>
      <c r="P40" s="4">
        <f t="shared" si="1"/>
        <v>0</v>
      </c>
    </row>
    <row r="41" spans="1:16" x14ac:dyDescent="0.3">
      <c r="A41" s="3"/>
      <c r="B41" s="3"/>
      <c r="C41" s="3" t="s">
        <v>78</v>
      </c>
      <c r="D41" s="3" t="s">
        <v>79</v>
      </c>
      <c r="E41" s="3" t="s">
        <v>80</v>
      </c>
      <c r="F41" s="3" t="s">
        <v>81</v>
      </c>
      <c r="G41" s="4">
        <v>0</v>
      </c>
      <c r="H41" s="4">
        <v>101.88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f t="shared" si="1"/>
        <v>0</v>
      </c>
    </row>
    <row r="42" spans="1:16" x14ac:dyDescent="0.3">
      <c r="A42" s="3"/>
      <c r="B42" s="3"/>
      <c r="C42" s="3"/>
      <c r="D42" s="3"/>
      <c r="E42" s="3" t="s">
        <v>86</v>
      </c>
      <c r="F42" s="3" t="s">
        <v>87</v>
      </c>
      <c r="G42" s="4">
        <v>-156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274.72000000000003</v>
      </c>
      <c r="O42" s="4">
        <v>0</v>
      </c>
      <c r="P42" s="4">
        <f t="shared" si="1"/>
        <v>-274.72000000000003</v>
      </c>
    </row>
    <row r="43" spans="1:16" x14ac:dyDescent="0.3">
      <c r="A43" s="3"/>
      <c r="B43" s="5" t="s">
        <v>88</v>
      </c>
      <c r="C43" s="5"/>
      <c r="D43" s="5"/>
      <c r="E43" s="5"/>
      <c r="F43" s="5"/>
      <c r="G43" s="6">
        <f t="shared" ref="G43:O43" si="4">SUM(G40:G42)</f>
        <v>-156</v>
      </c>
      <c r="H43" s="6">
        <f t="shared" si="4"/>
        <v>101.88</v>
      </c>
      <c r="I43" s="6">
        <f t="shared" si="4"/>
        <v>0</v>
      </c>
      <c r="J43" s="6">
        <f t="shared" si="4"/>
        <v>0</v>
      </c>
      <c r="K43" s="6">
        <f t="shared" si="4"/>
        <v>0</v>
      </c>
      <c r="L43" s="6">
        <f t="shared" si="4"/>
        <v>3773.13</v>
      </c>
      <c r="M43" s="6">
        <f t="shared" si="4"/>
        <v>0</v>
      </c>
      <c r="N43" s="6">
        <f t="shared" si="4"/>
        <v>274.72000000000003</v>
      </c>
      <c r="O43" s="6">
        <f t="shared" si="4"/>
        <v>0</v>
      </c>
      <c r="P43" s="6">
        <f t="shared" si="1"/>
        <v>-274.72000000000003</v>
      </c>
    </row>
    <row r="44" spans="1:16" x14ac:dyDescent="0.3">
      <c r="A44" s="3"/>
      <c r="B44" s="3" t="s">
        <v>89</v>
      </c>
      <c r="C44" s="3" t="s">
        <v>90</v>
      </c>
      <c r="D44" s="3" t="s">
        <v>91</v>
      </c>
      <c r="E44" s="3" t="s">
        <v>28</v>
      </c>
      <c r="F44" s="3" t="s">
        <v>29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14.85</v>
      </c>
      <c r="N44" s="4">
        <v>0</v>
      </c>
      <c r="O44" s="4">
        <v>0</v>
      </c>
      <c r="P44" s="4">
        <f t="shared" si="1"/>
        <v>0</v>
      </c>
    </row>
    <row r="45" spans="1:16" x14ac:dyDescent="0.3">
      <c r="A45" s="3"/>
      <c r="B45" s="3"/>
      <c r="C45" s="3" t="s">
        <v>94</v>
      </c>
      <c r="D45" s="3" t="s">
        <v>95</v>
      </c>
      <c r="E45" s="3" t="s">
        <v>34</v>
      </c>
      <c r="F45" s="3" t="s">
        <v>35</v>
      </c>
      <c r="G45" s="4">
        <v>0</v>
      </c>
      <c r="H45" s="4">
        <v>6.35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f t="shared" si="1"/>
        <v>0</v>
      </c>
    </row>
    <row r="46" spans="1:16" x14ac:dyDescent="0.3">
      <c r="A46" s="3"/>
      <c r="B46" s="3"/>
      <c r="C46" s="3" t="s">
        <v>96</v>
      </c>
      <c r="D46" s="3" t="s">
        <v>97</v>
      </c>
      <c r="E46" s="3" t="s">
        <v>98</v>
      </c>
      <c r="F46" s="3" t="s">
        <v>99</v>
      </c>
      <c r="G46" s="4">
        <v>0</v>
      </c>
      <c r="H46" s="4">
        <v>0</v>
      </c>
      <c r="I46" s="4">
        <v>35000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f t="shared" si="1"/>
        <v>0</v>
      </c>
    </row>
    <row r="47" spans="1:16" x14ac:dyDescent="0.3">
      <c r="A47" s="3"/>
      <c r="B47" s="5" t="s">
        <v>100</v>
      </c>
      <c r="C47" s="5"/>
      <c r="D47" s="5"/>
      <c r="E47" s="5"/>
      <c r="F47" s="5"/>
      <c r="G47" s="6">
        <f t="shared" ref="G47:O47" si="5">SUM(G44:G46)</f>
        <v>0</v>
      </c>
      <c r="H47" s="6">
        <f t="shared" si="5"/>
        <v>6.35</v>
      </c>
      <c r="I47" s="6">
        <f t="shared" si="5"/>
        <v>35000</v>
      </c>
      <c r="J47" s="6">
        <f t="shared" si="5"/>
        <v>0</v>
      </c>
      <c r="K47" s="6">
        <f t="shared" si="5"/>
        <v>0</v>
      </c>
      <c r="L47" s="6">
        <f t="shared" si="5"/>
        <v>0</v>
      </c>
      <c r="M47" s="6">
        <f t="shared" si="5"/>
        <v>14.85</v>
      </c>
      <c r="N47" s="6">
        <f t="shared" si="5"/>
        <v>0</v>
      </c>
      <c r="O47" s="6">
        <f t="shared" si="5"/>
        <v>0</v>
      </c>
      <c r="P47" s="6">
        <f t="shared" si="1"/>
        <v>0</v>
      </c>
    </row>
    <row r="48" spans="1:16" x14ac:dyDescent="0.3">
      <c r="A48" s="7" t="s">
        <v>101</v>
      </c>
      <c r="B48" s="7"/>
      <c r="C48" s="7"/>
      <c r="D48" s="7"/>
      <c r="E48" s="7"/>
      <c r="F48" s="7"/>
      <c r="G48" s="8">
        <f t="shared" ref="G48:O48" si="6">+G47+G43+G39+G34+G5</f>
        <v>3050418.23</v>
      </c>
      <c r="H48" s="8">
        <f t="shared" si="6"/>
        <v>3788916.33</v>
      </c>
      <c r="I48" s="8">
        <f t="shared" si="6"/>
        <v>2915843.8</v>
      </c>
      <c r="J48" s="8">
        <f t="shared" si="6"/>
        <v>1920625.2</v>
      </c>
      <c r="K48" s="8">
        <f t="shared" si="6"/>
        <v>2500604.19</v>
      </c>
      <c r="L48" s="8">
        <f t="shared" si="6"/>
        <v>2332440.9699999993</v>
      </c>
      <c r="M48" s="8">
        <f t="shared" si="6"/>
        <v>2314977.6300000004</v>
      </c>
      <c r="N48" s="8">
        <f t="shared" si="6"/>
        <v>2545128.48</v>
      </c>
      <c r="O48" s="8">
        <f t="shared" si="6"/>
        <v>2722031.9799999995</v>
      </c>
      <c r="P48" s="8">
        <f t="shared" si="1"/>
        <v>176903.49999999953</v>
      </c>
    </row>
    <row r="49" spans="1:16" x14ac:dyDescent="0.3">
      <c r="A49" s="3" t="s">
        <v>102</v>
      </c>
      <c r="B49" s="3" t="s">
        <v>103</v>
      </c>
      <c r="C49" s="3" t="s">
        <v>104</v>
      </c>
      <c r="D49" s="3" t="s">
        <v>105</v>
      </c>
      <c r="E49" s="3" t="s">
        <v>106</v>
      </c>
      <c r="F49" s="3" t="s">
        <v>107</v>
      </c>
      <c r="G49" s="4">
        <v>0</v>
      </c>
      <c r="H49" s="4">
        <v>28404.47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f t="shared" si="1"/>
        <v>0</v>
      </c>
    </row>
    <row r="50" spans="1:16" x14ac:dyDescent="0.3">
      <c r="A50" s="3"/>
      <c r="B50" s="3"/>
      <c r="C50" s="3" t="s">
        <v>112</v>
      </c>
      <c r="D50" s="3" t="s">
        <v>113</v>
      </c>
      <c r="E50" s="3" t="s">
        <v>114</v>
      </c>
      <c r="F50" s="3" t="s">
        <v>115</v>
      </c>
      <c r="G50" s="4">
        <v>75000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f t="shared" si="1"/>
        <v>0</v>
      </c>
    </row>
    <row r="51" spans="1:16" x14ac:dyDescent="0.3">
      <c r="A51" s="3"/>
      <c r="B51" s="3"/>
      <c r="C51" s="3" t="s">
        <v>116</v>
      </c>
      <c r="D51" s="3" t="s">
        <v>117</v>
      </c>
      <c r="E51" s="3" t="s">
        <v>118</v>
      </c>
      <c r="F51" s="3" t="s">
        <v>119</v>
      </c>
      <c r="G51" s="4">
        <v>0</v>
      </c>
      <c r="H51" s="4">
        <v>75000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f t="shared" si="1"/>
        <v>0</v>
      </c>
    </row>
    <row r="52" spans="1:16" x14ac:dyDescent="0.3">
      <c r="A52" s="3"/>
      <c r="B52" s="3"/>
      <c r="C52" s="3"/>
      <c r="D52" s="3"/>
      <c r="E52" s="3" t="s">
        <v>120</v>
      </c>
      <c r="F52" s="3" t="s">
        <v>121</v>
      </c>
      <c r="G52" s="4">
        <v>0</v>
      </c>
      <c r="H52" s="4">
        <v>0</v>
      </c>
      <c r="I52" s="4">
        <v>0</v>
      </c>
      <c r="J52" s="4">
        <v>10000</v>
      </c>
      <c r="K52" s="4">
        <v>26000</v>
      </c>
      <c r="L52" s="4">
        <v>3000</v>
      </c>
      <c r="M52" s="4">
        <v>7000</v>
      </c>
      <c r="N52" s="4">
        <v>0</v>
      </c>
      <c r="O52" s="4">
        <v>0</v>
      </c>
      <c r="P52" s="4">
        <f t="shared" si="1"/>
        <v>0</v>
      </c>
    </row>
    <row r="53" spans="1:16" x14ac:dyDescent="0.3">
      <c r="A53" s="3"/>
      <c r="B53" s="3"/>
      <c r="C53" s="3"/>
      <c r="D53" s="3"/>
      <c r="E53" s="3" t="s">
        <v>122</v>
      </c>
      <c r="F53" s="3" t="s">
        <v>123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13.039999999999992</v>
      </c>
      <c r="O53" s="4">
        <v>12282.07</v>
      </c>
      <c r="P53" s="4">
        <f t="shared" si="1"/>
        <v>12269.029999999999</v>
      </c>
    </row>
    <row r="54" spans="1:16" x14ac:dyDescent="0.3">
      <c r="A54" s="3"/>
      <c r="B54" s="5" t="s">
        <v>124</v>
      </c>
      <c r="C54" s="5"/>
      <c r="D54" s="5"/>
      <c r="E54" s="5"/>
      <c r="F54" s="5"/>
      <c r="G54" s="6">
        <f t="shared" ref="G54:O54" si="7">SUM(G49:G53)</f>
        <v>75000</v>
      </c>
      <c r="H54" s="6">
        <f t="shared" si="7"/>
        <v>103404.47</v>
      </c>
      <c r="I54" s="6">
        <f t="shared" si="7"/>
        <v>0</v>
      </c>
      <c r="J54" s="6">
        <f t="shared" si="7"/>
        <v>10000</v>
      </c>
      <c r="K54" s="6">
        <f t="shared" si="7"/>
        <v>26000</v>
      </c>
      <c r="L54" s="6">
        <f t="shared" si="7"/>
        <v>3000</v>
      </c>
      <c r="M54" s="6">
        <f t="shared" si="7"/>
        <v>7000</v>
      </c>
      <c r="N54" s="6">
        <f t="shared" si="7"/>
        <v>13.039999999999992</v>
      </c>
      <c r="O54" s="6">
        <f t="shared" si="7"/>
        <v>12282.07</v>
      </c>
      <c r="P54" s="6">
        <f t="shared" si="1"/>
        <v>12269.029999999999</v>
      </c>
    </row>
    <row r="55" spans="1:16" x14ac:dyDescent="0.3">
      <c r="A55" s="3"/>
      <c r="B55" s="3" t="s">
        <v>125</v>
      </c>
      <c r="C55" s="3" t="s">
        <v>126</v>
      </c>
      <c r="D55" s="3" t="s">
        <v>127</v>
      </c>
      <c r="E55" s="3" t="s">
        <v>106</v>
      </c>
      <c r="F55" s="3" t="s">
        <v>107</v>
      </c>
      <c r="G55" s="4">
        <v>0</v>
      </c>
      <c r="H55" s="4">
        <v>0</v>
      </c>
      <c r="I55" s="4">
        <v>0</v>
      </c>
      <c r="J55" s="4">
        <v>0</v>
      </c>
      <c r="K55" s="4">
        <v>-53.14</v>
      </c>
      <c r="L55" s="4">
        <v>-1585</v>
      </c>
      <c r="M55" s="4">
        <v>-11880</v>
      </c>
      <c r="N55" s="4">
        <v>0</v>
      </c>
      <c r="O55" s="4">
        <v>0</v>
      </c>
      <c r="P55" s="4">
        <f t="shared" si="1"/>
        <v>0</v>
      </c>
    </row>
    <row r="56" spans="1:16" x14ac:dyDescent="0.3">
      <c r="A56" s="3"/>
      <c r="B56" s="3"/>
      <c r="C56" s="3" t="s">
        <v>128</v>
      </c>
      <c r="D56" s="3" t="s">
        <v>129</v>
      </c>
      <c r="E56" s="3" t="s">
        <v>130</v>
      </c>
      <c r="F56" s="3" t="s">
        <v>131</v>
      </c>
      <c r="G56" s="4">
        <v>0</v>
      </c>
      <c r="H56" s="4">
        <v>0</v>
      </c>
      <c r="I56" s="4">
        <v>933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f t="shared" si="1"/>
        <v>0</v>
      </c>
    </row>
    <row r="57" spans="1:16" x14ac:dyDescent="0.3">
      <c r="A57" s="3"/>
      <c r="B57" s="3"/>
      <c r="C57" s="3"/>
      <c r="D57" s="3"/>
      <c r="E57" s="3" t="s">
        <v>120</v>
      </c>
      <c r="F57" s="3" t="s">
        <v>121</v>
      </c>
      <c r="G57" s="4">
        <v>0</v>
      </c>
      <c r="H57" s="4">
        <v>0</v>
      </c>
      <c r="I57" s="4">
        <v>2832.21</v>
      </c>
      <c r="J57" s="4">
        <v>0</v>
      </c>
      <c r="K57" s="4">
        <v>2832.21</v>
      </c>
      <c r="L57" s="4">
        <v>0</v>
      </c>
      <c r="M57" s="4">
        <v>0</v>
      </c>
      <c r="N57" s="4">
        <v>0</v>
      </c>
      <c r="O57" s="4">
        <v>0</v>
      </c>
      <c r="P57" s="4">
        <f t="shared" si="1"/>
        <v>0</v>
      </c>
    </row>
    <row r="58" spans="1:16" x14ac:dyDescent="0.3">
      <c r="A58" s="3"/>
      <c r="B58" s="3"/>
      <c r="C58" s="3" t="s">
        <v>132</v>
      </c>
      <c r="D58" s="3" t="s">
        <v>133</v>
      </c>
      <c r="E58" s="3" t="s">
        <v>134</v>
      </c>
      <c r="F58" s="3" t="s">
        <v>135</v>
      </c>
      <c r="G58" s="4">
        <v>0</v>
      </c>
      <c r="H58" s="4">
        <v>0</v>
      </c>
      <c r="I58" s="4">
        <v>10000</v>
      </c>
      <c r="J58" s="4">
        <v>0</v>
      </c>
      <c r="K58" s="4">
        <v>10000</v>
      </c>
      <c r="L58" s="4">
        <v>10000</v>
      </c>
      <c r="M58" s="4">
        <v>0</v>
      </c>
      <c r="N58" s="4">
        <v>0</v>
      </c>
      <c r="O58" s="4">
        <v>0</v>
      </c>
      <c r="P58" s="4">
        <f t="shared" si="1"/>
        <v>0</v>
      </c>
    </row>
    <row r="59" spans="1:16" x14ac:dyDescent="0.3">
      <c r="A59" s="3"/>
      <c r="B59" s="3"/>
      <c r="C59" s="3" t="s">
        <v>136</v>
      </c>
      <c r="D59" s="3" t="s">
        <v>137</v>
      </c>
      <c r="E59" s="3" t="s">
        <v>138</v>
      </c>
      <c r="F59" s="3" t="s">
        <v>139</v>
      </c>
      <c r="G59" s="4">
        <v>36370.32</v>
      </c>
      <c r="H59" s="4">
        <v>55101</v>
      </c>
      <c r="I59" s="4">
        <v>65084.000000000015</v>
      </c>
      <c r="J59" s="4">
        <v>77431</v>
      </c>
      <c r="K59" s="4">
        <v>27654</v>
      </c>
      <c r="L59" s="4">
        <v>22192</v>
      </c>
      <c r="M59" s="4">
        <v>4098.34</v>
      </c>
      <c r="N59" s="4">
        <v>12899.67</v>
      </c>
      <c r="O59" s="4">
        <v>0</v>
      </c>
      <c r="P59" s="4">
        <f t="shared" si="1"/>
        <v>-12899.67</v>
      </c>
    </row>
    <row r="60" spans="1:16" x14ac:dyDescent="0.3">
      <c r="A60" s="3"/>
      <c r="B60" s="3"/>
      <c r="C60" s="3"/>
      <c r="D60" s="3"/>
      <c r="E60" s="3" t="s">
        <v>140</v>
      </c>
      <c r="F60" s="3" t="s">
        <v>141</v>
      </c>
      <c r="G60" s="4">
        <v>21005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f t="shared" si="1"/>
        <v>0</v>
      </c>
    </row>
    <row r="61" spans="1:16" x14ac:dyDescent="0.3">
      <c r="A61" s="3"/>
      <c r="B61" s="3"/>
      <c r="C61" s="3"/>
      <c r="D61" s="3" t="s">
        <v>129</v>
      </c>
      <c r="E61" s="3" t="s">
        <v>138</v>
      </c>
      <c r="F61" s="3" t="s">
        <v>139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10288.84</v>
      </c>
      <c r="P61" s="4">
        <f t="shared" si="1"/>
        <v>10288.84</v>
      </c>
    </row>
    <row r="62" spans="1:16" x14ac:dyDescent="0.3">
      <c r="A62" s="3"/>
      <c r="B62" s="3"/>
      <c r="C62" s="3" t="s">
        <v>142</v>
      </c>
      <c r="D62" s="3" t="s">
        <v>117</v>
      </c>
      <c r="E62" s="3" t="s">
        <v>143</v>
      </c>
      <c r="F62" s="3" t="s">
        <v>144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-4447.28</v>
      </c>
      <c r="P62" s="4">
        <f t="shared" si="1"/>
        <v>-4447.28</v>
      </c>
    </row>
    <row r="63" spans="1:16" x14ac:dyDescent="0.3">
      <c r="A63" s="3"/>
      <c r="B63" s="3"/>
      <c r="C63" s="3"/>
      <c r="D63" s="3" t="s">
        <v>145</v>
      </c>
      <c r="E63" s="3" t="s">
        <v>143</v>
      </c>
      <c r="F63" s="3" t="s">
        <v>144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-2852.86</v>
      </c>
      <c r="N63" s="4">
        <v>0</v>
      </c>
      <c r="O63" s="4">
        <v>0</v>
      </c>
      <c r="P63" s="4">
        <f t="shared" si="1"/>
        <v>0</v>
      </c>
    </row>
    <row r="64" spans="1:16" x14ac:dyDescent="0.3">
      <c r="A64" s="3"/>
      <c r="B64" s="3"/>
      <c r="C64" s="3" t="s">
        <v>148</v>
      </c>
      <c r="D64" s="3" t="s">
        <v>149</v>
      </c>
      <c r="E64" s="3" t="s">
        <v>146</v>
      </c>
      <c r="F64" s="3" t="s">
        <v>147</v>
      </c>
      <c r="G64" s="4">
        <v>0</v>
      </c>
      <c r="H64" s="4">
        <v>0</v>
      </c>
      <c r="I64" s="4">
        <v>0</v>
      </c>
      <c r="J64" s="4">
        <v>10253.869999999999</v>
      </c>
      <c r="K64" s="4">
        <v>10253.869999999999</v>
      </c>
      <c r="L64" s="4">
        <v>0</v>
      </c>
      <c r="M64" s="4">
        <v>0</v>
      </c>
      <c r="N64" s="4">
        <v>0</v>
      </c>
      <c r="O64" s="4">
        <v>0</v>
      </c>
      <c r="P64" s="4">
        <f t="shared" ref="P64:P119" si="8">+O64-N64</f>
        <v>0</v>
      </c>
    </row>
    <row r="65" spans="1:16" x14ac:dyDescent="0.3">
      <c r="A65" s="3"/>
      <c r="B65" s="5" t="s">
        <v>150</v>
      </c>
      <c r="C65" s="5"/>
      <c r="D65" s="5"/>
      <c r="E65" s="5"/>
      <c r="F65" s="5"/>
      <c r="G65" s="6">
        <f t="shared" ref="G65:O65" si="9">SUM(G55:G64)</f>
        <v>57375.32</v>
      </c>
      <c r="H65" s="6">
        <f t="shared" si="9"/>
        <v>55101</v>
      </c>
      <c r="I65" s="6">
        <f t="shared" si="9"/>
        <v>78849.210000000021</v>
      </c>
      <c r="J65" s="6">
        <f t="shared" si="9"/>
        <v>87684.87</v>
      </c>
      <c r="K65" s="6">
        <f t="shared" si="9"/>
        <v>50686.94</v>
      </c>
      <c r="L65" s="6">
        <f t="shared" si="9"/>
        <v>30607</v>
      </c>
      <c r="M65" s="6">
        <f t="shared" si="9"/>
        <v>-10634.52</v>
      </c>
      <c r="N65" s="6">
        <f t="shared" si="9"/>
        <v>12899.67</v>
      </c>
      <c r="O65" s="6">
        <f t="shared" si="9"/>
        <v>5841.56</v>
      </c>
      <c r="P65" s="6">
        <f t="shared" si="8"/>
        <v>-7058.11</v>
      </c>
    </row>
    <row r="66" spans="1:16" x14ac:dyDescent="0.3">
      <c r="A66" s="3"/>
      <c r="B66" s="3" t="s">
        <v>151</v>
      </c>
      <c r="C66" s="3" t="s">
        <v>152</v>
      </c>
      <c r="D66" s="3" t="s">
        <v>153</v>
      </c>
      <c r="E66" s="3" t="s">
        <v>118</v>
      </c>
      <c r="F66" s="3" t="s">
        <v>119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37791.160000000003</v>
      </c>
      <c r="P66" s="4">
        <f t="shared" si="8"/>
        <v>37791.160000000003</v>
      </c>
    </row>
    <row r="67" spans="1:16" x14ac:dyDescent="0.3">
      <c r="A67" s="3"/>
      <c r="B67" s="3"/>
      <c r="C67" s="3"/>
      <c r="D67" s="3" t="s">
        <v>154</v>
      </c>
      <c r="E67" s="3" t="s">
        <v>155</v>
      </c>
      <c r="F67" s="3" t="s">
        <v>156</v>
      </c>
      <c r="G67" s="4">
        <v>0</v>
      </c>
      <c r="H67" s="4">
        <v>2100</v>
      </c>
      <c r="I67" s="4">
        <v>0</v>
      </c>
      <c r="J67" s="4">
        <v>4200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f t="shared" si="8"/>
        <v>0</v>
      </c>
    </row>
    <row r="68" spans="1:16" x14ac:dyDescent="0.3">
      <c r="A68" s="3"/>
      <c r="B68" s="3"/>
      <c r="C68" s="3"/>
      <c r="D68" s="3"/>
      <c r="E68" s="3" t="s">
        <v>118</v>
      </c>
      <c r="F68" s="3" t="s">
        <v>119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2100</v>
      </c>
      <c r="M68" s="4">
        <v>2100</v>
      </c>
      <c r="N68" s="4">
        <v>2500</v>
      </c>
      <c r="O68" s="4">
        <v>0</v>
      </c>
      <c r="P68" s="4">
        <f t="shared" si="8"/>
        <v>-2500</v>
      </c>
    </row>
    <row r="69" spans="1:16" x14ac:dyDescent="0.3">
      <c r="A69" s="3"/>
      <c r="B69" s="3"/>
      <c r="C69" s="3" t="s">
        <v>157</v>
      </c>
      <c r="D69" s="3" t="s">
        <v>158</v>
      </c>
      <c r="E69" s="3" t="s">
        <v>159</v>
      </c>
      <c r="F69" s="3" t="s">
        <v>160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480000</v>
      </c>
      <c r="O69" s="4">
        <v>288000</v>
      </c>
      <c r="P69" s="4">
        <f t="shared" si="8"/>
        <v>-192000</v>
      </c>
    </row>
    <row r="70" spans="1:16" x14ac:dyDescent="0.3">
      <c r="A70" s="3"/>
      <c r="B70" s="3"/>
      <c r="C70" s="3"/>
      <c r="D70" s="3"/>
      <c r="E70" s="3" t="s">
        <v>161</v>
      </c>
      <c r="F70" s="3" t="s">
        <v>162</v>
      </c>
      <c r="G70" s="4">
        <v>0</v>
      </c>
      <c r="H70" s="4">
        <v>732739.2200000002</v>
      </c>
      <c r="I70" s="4">
        <v>764753.73999999987</v>
      </c>
      <c r="J70" s="4">
        <v>0</v>
      </c>
      <c r="K70" s="4">
        <v>0</v>
      </c>
      <c r="L70" s="4">
        <v>0</v>
      </c>
      <c r="M70" s="4">
        <v>-3513.66</v>
      </c>
      <c r="N70" s="4">
        <v>0</v>
      </c>
      <c r="O70" s="4">
        <v>0</v>
      </c>
      <c r="P70" s="4">
        <f t="shared" si="8"/>
        <v>0</v>
      </c>
    </row>
    <row r="71" spans="1:16" x14ac:dyDescent="0.3">
      <c r="A71" s="3"/>
      <c r="B71" s="3"/>
      <c r="C71" s="3"/>
      <c r="D71" s="3"/>
      <c r="E71" s="3" t="s">
        <v>106</v>
      </c>
      <c r="F71" s="3" t="s">
        <v>107</v>
      </c>
      <c r="G71" s="4">
        <v>0</v>
      </c>
      <c r="H71" s="4">
        <v>0</v>
      </c>
      <c r="I71" s="4">
        <v>0</v>
      </c>
      <c r="J71" s="4">
        <v>0</v>
      </c>
      <c r="K71" s="4">
        <v>2400</v>
      </c>
      <c r="L71" s="4">
        <v>0</v>
      </c>
      <c r="M71" s="4">
        <v>0</v>
      </c>
      <c r="N71" s="4">
        <v>0</v>
      </c>
      <c r="O71" s="4">
        <v>0</v>
      </c>
      <c r="P71" s="4">
        <f t="shared" si="8"/>
        <v>0</v>
      </c>
    </row>
    <row r="72" spans="1:16" x14ac:dyDescent="0.3">
      <c r="A72" s="3"/>
      <c r="B72" s="3"/>
      <c r="C72" s="3"/>
      <c r="D72" s="3"/>
      <c r="E72" s="3" t="s">
        <v>114</v>
      </c>
      <c r="F72" s="3" t="s">
        <v>115</v>
      </c>
      <c r="G72" s="4">
        <v>0</v>
      </c>
      <c r="H72" s="4">
        <v>1800</v>
      </c>
      <c r="I72" s="4">
        <v>8750</v>
      </c>
      <c r="J72" s="4">
        <v>4621.22</v>
      </c>
      <c r="K72" s="4">
        <v>19191.010000000002</v>
      </c>
      <c r="L72" s="4">
        <v>0</v>
      </c>
      <c r="M72" s="4">
        <v>0</v>
      </c>
      <c r="N72" s="4">
        <v>0</v>
      </c>
      <c r="O72" s="4">
        <v>0</v>
      </c>
      <c r="P72" s="4">
        <f t="shared" si="8"/>
        <v>0</v>
      </c>
    </row>
    <row r="73" spans="1:16" x14ac:dyDescent="0.3">
      <c r="A73" s="3"/>
      <c r="B73" s="3"/>
      <c r="C73" s="3"/>
      <c r="D73" s="3"/>
      <c r="E73" s="3" t="s">
        <v>18</v>
      </c>
      <c r="F73" s="3" t="s">
        <v>19</v>
      </c>
      <c r="G73" s="4">
        <v>1992472.2800000047</v>
      </c>
      <c r="H73" s="4">
        <v>1249507.2400000009</v>
      </c>
      <c r="I73" s="4">
        <v>1370447.5400000012</v>
      </c>
      <c r="J73" s="4">
        <v>510961.56999999989</v>
      </c>
      <c r="K73" s="4">
        <v>746030.76999999944</v>
      </c>
      <c r="L73" s="4">
        <v>1210876.8700000003</v>
      </c>
      <c r="M73" s="4">
        <v>402140.09999999992</v>
      </c>
      <c r="N73" s="4">
        <v>891407.99</v>
      </c>
      <c r="O73" s="4">
        <v>2006588.7899999993</v>
      </c>
      <c r="P73" s="4">
        <f t="shared" si="8"/>
        <v>1115180.7999999993</v>
      </c>
    </row>
    <row r="74" spans="1:16" x14ac:dyDescent="0.3">
      <c r="A74" s="3"/>
      <c r="B74" s="3"/>
      <c r="C74" s="3"/>
      <c r="D74" s="3"/>
      <c r="E74" s="3" t="s">
        <v>46</v>
      </c>
      <c r="F74" s="3" t="s">
        <v>47</v>
      </c>
      <c r="G74" s="4">
        <v>285222.13999999996</v>
      </c>
      <c r="H74" s="4">
        <v>214633.96999999997</v>
      </c>
      <c r="I74" s="4">
        <v>80824.989999999991</v>
      </c>
      <c r="J74" s="4">
        <v>44423.199999999997</v>
      </c>
      <c r="K74" s="4">
        <v>81653.83</v>
      </c>
      <c r="L74" s="4">
        <v>154332.93</v>
      </c>
      <c r="M74" s="4">
        <v>45105.440000000002</v>
      </c>
      <c r="N74" s="4">
        <v>91179.63</v>
      </c>
      <c r="O74" s="4">
        <v>0</v>
      </c>
      <c r="P74" s="4">
        <f t="shared" si="8"/>
        <v>-91179.63</v>
      </c>
    </row>
    <row r="75" spans="1:16" x14ac:dyDescent="0.3">
      <c r="A75" s="3"/>
      <c r="B75" s="3"/>
      <c r="C75" s="3"/>
      <c r="D75" s="3"/>
      <c r="E75" s="3" t="s">
        <v>163</v>
      </c>
      <c r="F75" s="3" t="s">
        <v>164</v>
      </c>
      <c r="G75" s="4">
        <v>49600</v>
      </c>
      <c r="H75" s="4">
        <v>-50145.990000000005</v>
      </c>
      <c r="I75" s="4">
        <v>134833.66999999998</v>
      </c>
      <c r="J75" s="4">
        <v>-3730.34</v>
      </c>
      <c r="K75" s="4">
        <v>76846.59</v>
      </c>
      <c r="L75" s="4">
        <v>263582.76</v>
      </c>
      <c r="M75" s="4">
        <v>56458.99</v>
      </c>
      <c r="N75" s="4">
        <v>357952.79000000004</v>
      </c>
      <c r="O75" s="4">
        <v>220003.55000000002</v>
      </c>
      <c r="P75" s="4">
        <f t="shared" si="8"/>
        <v>-137949.24000000002</v>
      </c>
    </row>
    <row r="76" spans="1:16" x14ac:dyDescent="0.3">
      <c r="A76" s="3"/>
      <c r="B76" s="3"/>
      <c r="C76" s="3"/>
      <c r="D76" s="3"/>
      <c r="E76" s="3" t="s">
        <v>165</v>
      </c>
      <c r="F76" s="3" t="s">
        <v>166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-5268.48</v>
      </c>
      <c r="M76" s="4">
        <v>0.5</v>
      </c>
      <c r="N76" s="4">
        <v>0</v>
      </c>
      <c r="O76" s="4">
        <v>0</v>
      </c>
      <c r="P76" s="4">
        <f t="shared" si="8"/>
        <v>0</v>
      </c>
    </row>
    <row r="77" spans="1:16" x14ac:dyDescent="0.3">
      <c r="A77" s="3"/>
      <c r="B77" s="3"/>
      <c r="C77" s="3"/>
      <c r="D77" s="3"/>
      <c r="E77" s="3" t="s">
        <v>134</v>
      </c>
      <c r="F77" s="3" t="s">
        <v>135</v>
      </c>
      <c r="G77" s="4">
        <v>0</v>
      </c>
      <c r="H77" s="4">
        <v>0</v>
      </c>
      <c r="I77" s="4">
        <v>0</v>
      </c>
      <c r="J77" s="4">
        <v>0</v>
      </c>
      <c r="K77" s="4">
        <v>8289.4599999999991</v>
      </c>
      <c r="L77" s="4">
        <v>99777.45</v>
      </c>
      <c r="M77" s="4">
        <v>-35820</v>
      </c>
      <c r="N77" s="4">
        <v>0</v>
      </c>
      <c r="O77" s="4">
        <v>-9711.1</v>
      </c>
      <c r="P77" s="4">
        <f t="shared" si="8"/>
        <v>-9711.1</v>
      </c>
    </row>
    <row r="78" spans="1:16" x14ac:dyDescent="0.3">
      <c r="A78" s="3"/>
      <c r="B78" s="3"/>
      <c r="C78" s="3"/>
      <c r="D78" s="3"/>
      <c r="E78" s="3" t="s">
        <v>120</v>
      </c>
      <c r="F78" s="3" t="s">
        <v>121</v>
      </c>
      <c r="G78" s="4">
        <v>0</v>
      </c>
      <c r="H78" s="4">
        <v>4800</v>
      </c>
      <c r="I78" s="4">
        <v>107621.8</v>
      </c>
      <c r="J78" s="4">
        <v>0</v>
      </c>
      <c r="K78" s="4">
        <v>319412.56</v>
      </c>
      <c r="L78" s="4">
        <v>0</v>
      </c>
      <c r="M78" s="4">
        <v>0</v>
      </c>
      <c r="N78" s="4">
        <v>0</v>
      </c>
      <c r="O78" s="4">
        <v>-2765.26</v>
      </c>
      <c r="P78" s="4">
        <f t="shared" si="8"/>
        <v>-2765.26</v>
      </c>
    </row>
    <row r="79" spans="1:16" x14ac:dyDescent="0.3">
      <c r="A79" s="3"/>
      <c r="B79" s="3"/>
      <c r="C79" s="3"/>
      <c r="D79" s="3"/>
      <c r="E79" s="3" t="s">
        <v>167</v>
      </c>
      <c r="F79" s="3" t="s">
        <v>168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147021</v>
      </c>
      <c r="M79" s="4">
        <v>98014</v>
      </c>
      <c r="N79" s="4">
        <v>0</v>
      </c>
      <c r="O79" s="4">
        <v>0</v>
      </c>
      <c r="P79" s="4">
        <f t="shared" si="8"/>
        <v>0</v>
      </c>
    </row>
    <row r="80" spans="1:16" x14ac:dyDescent="0.3">
      <c r="A80" s="3"/>
      <c r="B80" s="3"/>
      <c r="C80" s="3"/>
      <c r="D80" s="3"/>
      <c r="E80" s="3" t="s">
        <v>169</v>
      </c>
      <c r="F80" s="3" t="s">
        <v>47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90563.12</v>
      </c>
      <c r="P80" s="4">
        <f t="shared" si="8"/>
        <v>90563.12</v>
      </c>
    </row>
    <row r="81" spans="1:16" x14ac:dyDescent="0.3">
      <c r="A81" s="3"/>
      <c r="B81" s="3"/>
      <c r="C81" s="3" t="s">
        <v>170</v>
      </c>
      <c r="D81" s="3" t="s">
        <v>171</v>
      </c>
      <c r="E81" s="3" t="s">
        <v>114</v>
      </c>
      <c r="F81" s="3" t="s">
        <v>115</v>
      </c>
      <c r="G81" s="4">
        <v>0</v>
      </c>
      <c r="H81" s="4">
        <v>0</v>
      </c>
      <c r="I81" s="4">
        <v>6237</v>
      </c>
      <c r="J81" s="4">
        <v>0</v>
      </c>
      <c r="K81" s="4">
        <v>27035.47</v>
      </c>
      <c r="L81" s="4">
        <v>25645.25</v>
      </c>
      <c r="M81" s="4">
        <v>0</v>
      </c>
      <c r="N81" s="4">
        <v>0</v>
      </c>
      <c r="O81" s="4">
        <v>0</v>
      </c>
      <c r="P81" s="4">
        <f t="shared" si="8"/>
        <v>0</v>
      </c>
    </row>
    <row r="82" spans="1:16" x14ac:dyDescent="0.3">
      <c r="A82" s="3"/>
      <c r="B82" s="3"/>
      <c r="C82" s="3"/>
      <c r="D82" s="3"/>
      <c r="E82" s="3" t="s">
        <v>172</v>
      </c>
      <c r="F82" s="3" t="s">
        <v>173</v>
      </c>
      <c r="G82" s="4">
        <v>3568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f t="shared" si="8"/>
        <v>0</v>
      </c>
    </row>
    <row r="83" spans="1:16" x14ac:dyDescent="0.3">
      <c r="A83" s="3"/>
      <c r="B83" s="3"/>
      <c r="C83" s="3"/>
      <c r="D83" s="3"/>
      <c r="E83" s="3" t="s">
        <v>120</v>
      </c>
      <c r="F83" s="3" t="s">
        <v>121</v>
      </c>
      <c r="G83" s="4">
        <v>0</v>
      </c>
      <c r="H83" s="4">
        <v>0</v>
      </c>
      <c r="I83" s="4">
        <v>7909.37</v>
      </c>
      <c r="J83" s="4">
        <v>0</v>
      </c>
      <c r="K83" s="4">
        <v>7909.37</v>
      </c>
      <c r="L83" s="4">
        <v>0</v>
      </c>
      <c r="M83" s="4">
        <v>0</v>
      </c>
      <c r="N83" s="4">
        <v>0</v>
      </c>
      <c r="O83" s="4">
        <v>40151.96</v>
      </c>
      <c r="P83" s="4">
        <f t="shared" si="8"/>
        <v>40151.96</v>
      </c>
    </row>
    <row r="84" spans="1:16" x14ac:dyDescent="0.3">
      <c r="A84" s="3"/>
      <c r="B84" s="3"/>
      <c r="C84" s="3"/>
      <c r="D84" s="3"/>
      <c r="E84" s="3" t="s">
        <v>174</v>
      </c>
      <c r="F84" s="3" t="s">
        <v>175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-1080</v>
      </c>
      <c r="M84" s="4">
        <v>0</v>
      </c>
      <c r="N84" s="4">
        <v>0</v>
      </c>
      <c r="O84" s="4">
        <v>0</v>
      </c>
      <c r="P84" s="4">
        <f t="shared" si="8"/>
        <v>0</v>
      </c>
    </row>
    <row r="85" spans="1:16" x14ac:dyDescent="0.3">
      <c r="A85" s="3"/>
      <c r="B85" s="3"/>
      <c r="C85" s="3"/>
      <c r="D85" s="3"/>
      <c r="E85" s="3" t="s">
        <v>122</v>
      </c>
      <c r="F85" s="3" t="s">
        <v>123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-56.31</v>
      </c>
      <c r="N85" s="4">
        <v>0</v>
      </c>
      <c r="O85" s="4">
        <v>0</v>
      </c>
      <c r="P85" s="4">
        <f t="shared" si="8"/>
        <v>0</v>
      </c>
    </row>
    <row r="86" spans="1:16" x14ac:dyDescent="0.3">
      <c r="A86" s="3"/>
      <c r="B86" s="3"/>
      <c r="C86" s="3" t="s">
        <v>176</v>
      </c>
      <c r="D86" s="3" t="s">
        <v>177</v>
      </c>
      <c r="E86" s="3" t="s">
        <v>114</v>
      </c>
      <c r="F86" s="3" t="s">
        <v>115</v>
      </c>
      <c r="G86" s="4">
        <v>0</v>
      </c>
      <c r="H86" s="4">
        <v>0</v>
      </c>
      <c r="I86" s="4">
        <v>6750</v>
      </c>
      <c r="J86" s="4">
        <v>5750</v>
      </c>
      <c r="K86" s="4">
        <v>5750</v>
      </c>
      <c r="L86" s="4">
        <v>5750</v>
      </c>
      <c r="M86" s="4">
        <v>0</v>
      </c>
      <c r="N86" s="4">
        <v>0</v>
      </c>
      <c r="O86" s="4">
        <v>0</v>
      </c>
      <c r="P86" s="4">
        <f t="shared" si="8"/>
        <v>0</v>
      </c>
    </row>
    <row r="87" spans="1:16" x14ac:dyDescent="0.3">
      <c r="A87" s="3"/>
      <c r="B87" s="3"/>
      <c r="C87" s="3" t="s">
        <v>178</v>
      </c>
      <c r="D87" s="3" t="s">
        <v>179</v>
      </c>
      <c r="E87" s="3" t="s">
        <v>161</v>
      </c>
      <c r="F87" s="3" t="s">
        <v>162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6666</v>
      </c>
      <c r="N87" s="4">
        <v>0</v>
      </c>
      <c r="O87" s="4">
        <v>0</v>
      </c>
      <c r="P87" s="4">
        <f t="shared" si="8"/>
        <v>0</v>
      </c>
    </row>
    <row r="88" spans="1:16" x14ac:dyDescent="0.3">
      <c r="A88" s="3"/>
      <c r="B88" s="3"/>
      <c r="C88" s="3"/>
      <c r="D88" s="3"/>
      <c r="E88" s="3" t="s">
        <v>118</v>
      </c>
      <c r="F88" s="3" t="s">
        <v>119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20000</v>
      </c>
      <c r="N88" s="4">
        <v>6680</v>
      </c>
      <c r="O88" s="4">
        <v>31766.66</v>
      </c>
      <c r="P88" s="4">
        <f t="shared" si="8"/>
        <v>25086.66</v>
      </c>
    </row>
    <row r="89" spans="1:16" x14ac:dyDescent="0.3">
      <c r="A89" s="3"/>
      <c r="B89" s="3"/>
      <c r="C89" s="3"/>
      <c r="D89" s="3"/>
      <c r="E89" s="3" t="s">
        <v>134</v>
      </c>
      <c r="F89" s="3" t="s">
        <v>135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7212.5</v>
      </c>
      <c r="M89" s="4">
        <v>0</v>
      </c>
      <c r="N89" s="4">
        <v>0</v>
      </c>
      <c r="O89" s="4">
        <v>0</v>
      </c>
      <c r="P89" s="4">
        <f t="shared" si="8"/>
        <v>0</v>
      </c>
    </row>
    <row r="90" spans="1:16" x14ac:dyDescent="0.3">
      <c r="A90" s="3"/>
      <c r="B90" s="3"/>
      <c r="C90" s="3"/>
      <c r="D90" s="3"/>
      <c r="E90" s="3" t="s">
        <v>120</v>
      </c>
      <c r="F90" s="3" t="s">
        <v>121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4779.5</v>
      </c>
      <c r="O90" s="4">
        <v>0</v>
      </c>
      <c r="P90" s="4">
        <f t="shared" si="8"/>
        <v>-4779.5</v>
      </c>
    </row>
    <row r="91" spans="1:16" x14ac:dyDescent="0.3">
      <c r="A91" s="3"/>
      <c r="B91" s="3"/>
      <c r="C91" s="3" t="s">
        <v>180</v>
      </c>
      <c r="D91" s="3" t="s">
        <v>181</v>
      </c>
      <c r="E91" s="3" t="s">
        <v>155</v>
      </c>
      <c r="F91" s="3" t="s">
        <v>156</v>
      </c>
      <c r="G91" s="4">
        <v>18000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f t="shared" si="8"/>
        <v>0</v>
      </c>
    </row>
    <row r="92" spans="1:16" x14ac:dyDescent="0.3">
      <c r="A92" s="3"/>
      <c r="B92" s="3"/>
      <c r="C92" s="3" t="s">
        <v>182</v>
      </c>
      <c r="D92" s="3" t="s">
        <v>183</v>
      </c>
      <c r="E92" s="3" t="s">
        <v>28</v>
      </c>
      <c r="F92" s="3" t="s">
        <v>29</v>
      </c>
      <c r="G92" s="4">
        <v>3472.25</v>
      </c>
      <c r="H92" s="4">
        <v>3044.63</v>
      </c>
      <c r="I92" s="4">
        <v>0</v>
      </c>
      <c r="J92" s="4">
        <v>0</v>
      </c>
      <c r="K92" s="4">
        <v>0</v>
      </c>
      <c r="L92" s="4">
        <v>0</v>
      </c>
      <c r="M92" s="4">
        <v>6027</v>
      </c>
      <c r="N92" s="4">
        <v>0</v>
      </c>
      <c r="O92" s="4">
        <v>2907</v>
      </c>
      <c r="P92" s="4">
        <f t="shared" si="8"/>
        <v>2907</v>
      </c>
    </row>
    <row r="93" spans="1:16" x14ac:dyDescent="0.3">
      <c r="A93" s="3"/>
      <c r="B93" s="3"/>
      <c r="C93" s="3" t="s">
        <v>184</v>
      </c>
      <c r="D93" s="3" t="s">
        <v>185</v>
      </c>
      <c r="E93" s="3" t="s">
        <v>98</v>
      </c>
      <c r="F93" s="3" t="s">
        <v>99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5000</v>
      </c>
      <c r="M93" s="4">
        <v>2500</v>
      </c>
      <c r="N93" s="4">
        <v>0</v>
      </c>
      <c r="O93" s="4">
        <v>0</v>
      </c>
      <c r="P93" s="4">
        <f t="shared" si="8"/>
        <v>0</v>
      </c>
    </row>
    <row r="94" spans="1:16" x14ac:dyDescent="0.3">
      <c r="A94" s="3"/>
      <c r="B94" s="3"/>
      <c r="C94" s="3"/>
      <c r="D94" s="3"/>
      <c r="E94" s="3" t="s">
        <v>120</v>
      </c>
      <c r="F94" s="3" t="s">
        <v>121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9714</v>
      </c>
      <c r="N94" s="4">
        <v>0</v>
      </c>
      <c r="O94" s="4">
        <v>0</v>
      </c>
      <c r="P94" s="4">
        <f t="shared" si="8"/>
        <v>0</v>
      </c>
    </row>
    <row r="95" spans="1:16" x14ac:dyDescent="0.3">
      <c r="A95" s="3"/>
      <c r="B95" s="3"/>
      <c r="C95" s="3" t="s">
        <v>186</v>
      </c>
      <c r="D95" s="3" t="s">
        <v>187</v>
      </c>
      <c r="E95" s="3" t="s">
        <v>161</v>
      </c>
      <c r="F95" s="3" t="s">
        <v>162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21000</v>
      </c>
      <c r="N95" s="4">
        <v>0</v>
      </c>
      <c r="O95" s="4">
        <v>0</v>
      </c>
      <c r="P95" s="4">
        <f t="shared" si="8"/>
        <v>0</v>
      </c>
    </row>
    <row r="96" spans="1:16" x14ac:dyDescent="0.3">
      <c r="A96" s="3"/>
      <c r="B96" s="5" t="s">
        <v>188</v>
      </c>
      <c r="C96" s="5"/>
      <c r="D96" s="5"/>
      <c r="E96" s="5"/>
      <c r="F96" s="5"/>
      <c r="G96" s="6">
        <f t="shared" ref="G96:O96" si="10">SUM(G66:G95)</f>
        <v>2352334.6700000046</v>
      </c>
      <c r="H96" s="6">
        <f t="shared" si="10"/>
        <v>2158479.0700000008</v>
      </c>
      <c r="I96" s="6">
        <f t="shared" si="10"/>
        <v>2488128.1100000013</v>
      </c>
      <c r="J96" s="6">
        <f t="shared" si="10"/>
        <v>566225.64999999991</v>
      </c>
      <c r="K96" s="6">
        <f t="shared" si="10"/>
        <v>1294519.0599999994</v>
      </c>
      <c r="L96" s="6">
        <f t="shared" si="10"/>
        <v>1914950.2800000003</v>
      </c>
      <c r="M96" s="6">
        <f t="shared" si="10"/>
        <v>630336.05999999982</v>
      </c>
      <c r="N96" s="6">
        <f t="shared" si="10"/>
        <v>1834499.9100000001</v>
      </c>
      <c r="O96" s="6">
        <f t="shared" si="10"/>
        <v>2705295.8799999994</v>
      </c>
      <c r="P96" s="6">
        <f t="shared" si="8"/>
        <v>870795.96999999927</v>
      </c>
    </row>
    <row r="97" spans="1:16" x14ac:dyDescent="0.3">
      <c r="A97" s="3"/>
      <c r="B97" s="3" t="s">
        <v>189</v>
      </c>
      <c r="C97" s="3" t="s">
        <v>190</v>
      </c>
      <c r="D97" s="3" t="s">
        <v>191</v>
      </c>
      <c r="E97" s="3" t="s">
        <v>28</v>
      </c>
      <c r="F97" s="3" t="s">
        <v>29</v>
      </c>
      <c r="G97" s="4">
        <v>0</v>
      </c>
      <c r="H97" s="4">
        <v>0</v>
      </c>
      <c r="I97" s="4">
        <v>1120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f t="shared" si="8"/>
        <v>0</v>
      </c>
    </row>
    <row r="98" spans="1:16" x14ac:dyDescent="0.3">
      <c r="A98" s="3"/>
      <c r="B98" s="3"/>
      <c r="C98" s="3" t="s">
        <v>192</v>
      </c>
      <c r="D98" s="3" t="s">
        <v>193</v>
      </c>
      <c r="E98" s="3" t="s">
        <v>28</v>
      </c>
      <c r="F98" s="3" t="s">
        <v>29</v>
      </c>
      <c r="G98" s="4">
        <v>0</v>
      </c>
      <c r="H98" s="4">
        <v>560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f t="shared" si="8"/>
        <v>0</v>
      </c>
    </row>
    <row r="99" spans="1:16" x14ac:dyDescent="0.3">
      <c r="A99" s="3"/>
      <c r="B99" s="3"/>
      <c r="C99" s="3"/>
      <c r="D99" s="3"/>
      <c r="E99" s="3" t="s">
        <v>34</v>
      </c>
      <c r="F99" s="3" t="s">
        <v>35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702.3</v>
      </c>
      <c r="P99" s="4">
        <f t="shared" si="8"/>
        <v>702.3</v>
      </c>
    </row>
    <row r="100" spans="1:16" x14ac:dyDescent="0.3">
      <c r="A100" s="3"/>
      <c r="B100" s="3"/>
      <c r="C100" s="3" t="s">
        <v>194</v>
      </c>
      <c r="D100" s="3" t="s">
        <v>195</v>
      </c>
      <c r="E100" s="3" t="s">
        <v>196</v>
      </c>
      <c r="F100" s="3" t="s">
        <v>197</v>
      </c>
      <c r="G100" s="4">
        <v>0</v>
      </c>
      <c r="H100" s="4">
        <v>0</v>
      </c>
      <c r="I100" s="4">
        <v>0</v>
      </c>
      <c r="J100" s="4">
        <v>22348.959999999999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f t="shared" si="8"/>
        <v>0</v>
      </c>
    </row>
    <row r="101" spans="1:16" x14ac:dyDescent="0.3">
      <c r="A101" s="3"/>
      <c r="B101" s="3"/>
      <c r="C101" s="3"/>
      <c r="D101" s="3"/>
      <c r="E101" s="3" t="s">
        <v>106</v>
      </c>
      <c r="F101" s="3" t="s">
        <v>107</v>
      </c>
      <c r="G101" s="4">
        <v>0</v>
      </c>
      <c r="H101" s="4">
        <v>0</v>
      </c>
      <c r="I101" s="4">
        <v>0</v>
      </c>
      <c r="J101" s="4">
        <v>12000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f t="shared" si="8"/>
        <v>0</v>
      </c>
    </row>
    <row r="102" spans="1:16" x14ac:dyDescent="0.3">
      <c r="A102" s="3"/>
      <c r="B102" s="5" t="s">
        <v>198</v>
      </c>
      <c r="C102" s="5"/>
      <c r="D102" s="5"/>
      <c r="E102" s="5"/>
      <c r="F102" s="5"/>
      <c r="G102" s="6">
        <f>SUM(G97:G101)</f>
        <v>0</v>
      </c>
      <c r="H102" s="6">
        <f t="shared" ref="H102:O102" si="11">SUM(H97:H101)</f>
        <v>560</v>
      </c>
      <c r="I102" s="6">
        <f t="shared" si="11"/>
        <v>1120</v>
      </c>
      <c r="J102" s="6">
        <f t="shared" si="11"/>
        <v>34348.959999999999</v>
      </c>
      <c r="K102" s="6">
        <f t="shared" si="11"/>
        <v>0</v>
      </c>
      <c r="L102" s="6">
        <f t="shared" si="11"/>
        <v>0</v>
      </c>
      <c r="M102" s="6">
        <f t="shared" si="11"/>
        <v>0</v>
      </c>
      <c r="N102" s="6">
        <f t="shared" si="11"/>
        <v>0</v>
      </c>
      <c r="O102" s="6">
        <f t="shared" si="11"/>
        <v>702.3</v>
      </c>
      <c r="P102" s="6">
        <f t="shared" si="8"/>
        <v>702.3</v>
      </c>
    </row>
    <row r="103" spans="1:16" x14ac:dyDescent="0.3">
      <c r="A103" s="3"/>
      <c r="B103" s="3" t="s">
        <v>199</v>
      </c>
      <c r="C103" s="3" t="s">
        <v>200</v>
      </c>
      <c r="D103" s="3" t="s">
        <v>201</v>
      </c>
      <c r="E103" s="3" t="s">
        <v>106</v>
      </c>
      <c r="F103" s="3" t="s">
        <v>107</v>
      </c>
      <c r="G103" s="4">
        <v>0</v>
      </c>
      <c r="H103" s="4">
        <v>8999.9599999999991</v>
      </c>
      <c r="I103" s="4">
        <v>9675</v>
      </c>
      <c r="J103" s="4">
        <v>5250</v>
      </c>
      <c r="K103" s="4">
        <v>7809.9</v>
      </c>
      <c r="L103" s="4">
        <v>34366.89</v>
      </c>
      <c r="M103" s="4">
        <v>11997.779999999999</v>
      </c>
      <c r="N103" s="4">
        <v>-33.909999999999997</v>
      </c>
      <c r="O103" s="4">
        <v>0</v>
      </c>
      <c r="P103" s="4">
        <f t="shared" si="8"/>
        <v>33.909999999999997</v>
      </c>
    </row>
    <row r="104" spans="1:16" x14ac:dyDescent="0.3">
      <c r="A104" s="3"/>
      <c r="B104" s="3"/>
      <c r="C104" s="3"/>
      <c r="D104" s="3"/>
      <c r="E104" s="3" t="s">
        <v>114</v>
      </c>
      <c r="F104" s="3" t="s">
        <v>115</v>
      </c>
      <c r="G104" s="4">
        <v>23490</v>
      </c>
      <c r="H104" s="4">
        <v>0</v>
      </c>
      <c r="I104" s="4">
        <v>25000</v>
      </c>
      <c r="J104" s="4">
        <v>0</v>
      </c>
      <c r="K104" s="4">
        <v>0</v>
      </c>
      <c r="L104" s="4">
        <v>30000</v>
      </c>
      <c r="M104" s="4">
        <v>0</v>
      </c>
      <c r="N104" s="4">
        <v>0</v>
      </c>
      <c r="O104" s="4">
        <v>0</v>
      </c>
      <c r="P104" s="4">
        <f t="shared" si="8"/>
        <v>0</v>
      </c>
    </row>
    <row r="105" spans="1:16" x14ac:dyDescent="0.3">
      <c r="A105" s="3"/>
      <c r="B105" s="3"/>
      <c r="C105" s="3"/>
      <c r="D105" s="3"/>
      <c r="E105" s="3" t="s">
        <v>118</v>
      </c>
      <c r="F105" s="3" t="s">
        <v>119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35000</v>
      </c>
      <c r="M105" s="4">
        <v>0</v>
      </c>
      <c r="N105" s="4">
        <v>20000</v>
      </c>
      <c r="O105" s="4">
        <v>20000</v>
      </c>
      <c r="P105" s="4">
        <f t="shared" si="8"/>
        <v>0</v>
      </c>
    </row>
    <row r="106" spans="1:16" x14ac:dyDescent="0.3">
      <c r="A106" s="3"/>
      <c r="B106" s="3"/>
      <c r="C106" s="3"/>
      <c r="D106" s="3"/>
      <c r="E106" s="3" t="s">
        <v>34</v>
      </c>
      <c r="F106" s="3" t="s">
        <v>35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4500</v>
      </c>
      <c r="P106" s="4">
        <f t="shared" si="8"/>
        <v>4500</v>
      </c>
    </row>
    <row r="107" spans="1:16" x14ac:dyDescent="0.3">
      <c r="A107" s="3"/>
      <c r="B107" s="3"/>
      <c r="C107" s="3"/>
      <c r="D107" s="3"/>
      <c r="E107" s="3" t="s">
        <v>202</v>
      </c>
      <c r="F107" s="3" t="s">
        <v>203</v>
      </c>
      <c r="G107" s="4">
        <v>0</v>
      </c>
      <c r="H107" s="4">
        <v>15519.3</v>
      </c>
      <c r="I107" s="4">
        <v>0</v>
      </c>
      <c r="J107" s="4">
        <v>0</v>
      </c>
      <c r="K107" s="4">
        <v>2586.5500000000002</v>
      </c>
      <c r="L107" s="4">
        <v>0</v>
      </c>
      <c r="M107" s="4">
        <v>0</v>
      </c>
      <c r="N107" s="4">
        <v>0</v>
      </c>
      <c r="O107" s="4">
        <v>0</v>
      </c>
      <c r="P107" s="4">
        <f t="shared" si="8"/>
        <v>0</v>
      </c>
    </row>
    <row r="108" spans="1:16" x14ac:dyDescent="0.3">
      <c r="A108" s="3"/>
      <c r="B108" s="3"/>
      <c r="C108" s="3"/>
      <c r="D108" s="3"/>
      <c r="E108" s="3" t="s">
        <v>120</v>
      </c>
      <c r="F108" s="3" t="s">
        <v>121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117453.23999999999</v>
      </c>
      <c r="M108" s="4">
        <v>123750.44</v>
      </c>
      <c r="N108" s="4">
        <v>0</v>
      </c>
      <c r="O108" s="4">
        <v>33239.910000000003</v>
      </c>
      <c r="P108" s="4">
        <f t="shared" si="8"/>
        <v>33239.910000000003</v>
      </c>
    </row>
    <row r="109" spans="1:16" x14ac:dyDescent="0.3">
      <c r="A109" s="3"/>
      <c r="B109" s="3"/>
      <c r="C109" s="3"/>
      <c r="D109" s="3"/>
      <c r="E109" s="3" t="s">
        <v>204</v>
      </c>
      <c r="F109" s="3" t="s">
        <v>205</v>
      </c>
      <c r="G109" s="4">
        <v>0</v>
      </c>
      <c r="H109" s="4">
        <v>26423.52</v>
      </c>
      <c r="I109" s="4">
        <v>0</v>
      </c>
      <c r="J109" s="4">
        <v>0</v>
      </c>
      <c r="K109" s="4">
        <v>-9.56</v>
      </c>
      <c r="L109" s="4">
        <v>46071.15</v>
      </c>
      <c r="M109" s="4">
        <v>37950.230000000003</v>
      </c>
      <c r="N109" s="4">
        <v>-3.7</v>
      </c>
      <c r="O109" s="4">
        <v>59966.45</v>
      </c>
      <c r="P109" s="4">
        <f t="shared" si="8"/>
        <v>59970.149999999994</v>
      </c>
    </row>
    <row r="110" spans="1:16" x14ac:dyDescent="0.3">
      <c r="A110" s="3"/>
      <c r="B110" s="3"/>
      <c r="C110" s="3"/>
      <c r="D110" s="3"/>
      <c r="E110" s="3" t="s">
        <v>54</v>
      </c>
      <c r="F110" s="3" t="s">
        <v>55</v>
      </c>
      <c r="G110" s="4">
        <v>0</v>
      </c>
      <c r="H110" s="4">
        <v>0</v>
      </c>
      <c r="I110" s="4">
        <v>15045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f t="shared" si="8"/>
        <v>0</v>
      </c>
    </row>
    <row r="111" spans="1:16" x14ac:dyDescent="0.3">
      <c r="A111" s="3"/>
      <c r="B111" s="3"/>
      <c r="C111" s="3" t="s">
        <v>206</v>
      </c>
      <c r="D111" s="3" t="s">
        <v>207</v>
      </c>
      <c r="E111" s="3" t="s">
        <v>106</v>
      </c>
      <c r="F111" s="3" t="s">
        <v>107</v>
      </c>
      <c r="G111" s="4">
        <v>0</v>
      </c>
      <c r="H111" s="4">
        <v>0</v>
      </c>
      <c r="I111" s="4">
        <v>0</v>
      </c>
      <c r="J111" s="4">
        <v>2000</v>
      </c>
      <c r="K111" s="4">
        <v>0</v>
      </c>
      <c r="L111" s="4">
        <v>1100</v>
      </c>
      <c r="M111" s="4">
        <v>0</v>
      </c>
      <c r="N111" s="4">
        <v>0</v>
      </c>
      <c r="O111" s="4">
        <v>0</v>
      </c>
      <c r="P111" s="4">
        <f t="shared" si="8"/>
        <v>0</v>
      </c>
    </row>
    <row r="112" spans="1:16" x14ac:dyDescent="0.3">
      <c r="A112" s="3"/>
      <c r="B112" s="3"/>
      <c r="C112" s="3"/>
      <c r="D112" s="3"/>
      <c r="E112" s="3" t="s">
        <v>114</v>
      </c>
      <c r="F112" s="3" t="s">
        <v>115</v>
      </c>
      <c r="G112" s="4">
        <v>0</v>
      </c>
      <c r="H112" s="4">
        <v>74560</v>
      </c>
      <c r="I112" s="4">
        <v>0</v>
      </c>
      <c r="J112" s="4">
        <v>21619.26</v>
      </c>
      <c r="K112" s="4">
        <v>15000</v>
      </c>
      <c r="L112" s="4">
        <v>0</v>
      </c>
      <c r="M112" s="4">
        <v>0</v>
      </c>
      <c r="N112" s="4">
        <v>1500</v>
      </c>
      <c r="O112" s="4">
        <v>0</v>
      </c>
      <c r="P112" s="4">
        <f t="shared" si="8"/>
        <v>-1500</v>
      </c>
    </row>
    <row r="113" spans="1:16" x14ac:dyDescent="0.3">
      <c r="A113" s="3"/>
      <c r="B113" s="3"/>
      <c r="C113" s="3"/>
      <c r="D113" s="3"/>
      <c r="E113" s="3" t="s">
        <v>28</v>
      </c>
      <c r="F113" s="3" t="s">
        <v>29</v>
      </c>
      <c r="G113" s="4">
        <v>0</v>
      </c>
      <c r="H113" s="4">
        <v>0</v>
      </c>
      <c r="I113" s="4">
        <v>7342</v>
      </c>
      <c r="J113" s="4">
        <v>0</v>
      </c>
      <c r="K113" s="4">
        <v>5842</v>
      </c>
      <c r="L113" s="4">
        <v>5842</v>
      </c>
      <c r="M113" s="4">
        <v>0</v>
      </c>
      <c r="N113" s="4">
        <v>0</v>
      </c>
      <c r="O113" s="4">
        <v>0</v>
      </c>
      <c r="P113" s="4">
        <f t="shared" si="8"/>
        <v>0</v>
      </c>
    </row>
    <row r="114" spans="1:16" x14ac:dyDescent="0.3">
      <c r="A114" s="3"/>
      <c r="B114" s="3"/>
      <c r="C114" s="3"/>
      <c r="D114" s="3"/>
      <c r="E114" s="3" t="s">
        <v>155</v>
      </c>
      <c r="F114" s="3" t="s">
        <v>156</v>
      </c>
      <c r="G114" s="4">
        <v>23405.67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40000</v>
      </c>
      <c r="O114" s="4">
        <v>0</v>
      </c>
      <c r="P114" s="4">
        <f t="shared" si="8"/>
        <v>-40000</v>
      </c>
    </row>
    <row r="115" spans="1:16" x14ac:dyDescent="0.3">
      <c r="A115" s="3"/>
      <c r="B115" s="3"/>
      <c r="C115" s="3"/>
      <c r="D115" s="3"/>
      <c r="E115" s="3" t="s">
        <v>118</v>
      </c>
      <c r="F115" s="3" t="s">
        <v>119</v>
      </c>
      <c r="G115" s="4">
        <v>0</v>
      </c>
      <c r="H115" s="4">
        <v>19700</v>
      </c>
      <c r="I115" s="4">
        <v>-20079.61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6609</v>
      </c>
      <c r="P115" s="4">
        <f t="shared" si="8"/>
        <v>6609</v>
      </c>
    </row>
    <row r="116" spans="1:16" x14ac:dyDescent="0.3">
      <c r="A116" s="3"/>
      <c r="B116" s="3"/>
      <c r="C116" s="3"/>
      <c r="D116" s="3"/>
      <c r="E116" s="3" t="s">
        <v>120</v>
      </c>
      <c r="F116" s="3" t="s">
        <v>121</v>
      </c>
      <c r="G116" s="4">
        <v>0</v>
      </c>
      <c r="H116" s="4">
        <v>0</v>
      </c>
      <c r="I116" s="4">
        <v>0</v>
      </c>
      <c r="J116" s="4">
        <v>44970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f t="shared" si="8"/>
        <v>0</v>
      </c>
    </row>
    <row r="117" spans="1:16" x14ac:dyDescent="0.3">
      <c r="A117" s="3"/>
      <c r="B117" s="3"/>
      <c r="C117" s="3"/>
      <c r="D117" s="3"/>
      <c r="E117" s="3" t="s">
        <v>204</v>
      </c>
      <c r="F117" s="3" t="s">
        <v>205</v>
      </c>
      <c r="G117" s="4">
        <v>41163.33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-300</v>
      </c>
      <c r="P117" s="4">
        <f t="shared" si="8"/>
        <v>-300</v>
      </c>
    </row>
    <row r="118" spans="1:16" x14ac:dyDescent="0.3">
      <c r="A118" s="3"/>
      <c r="B118" s="3"/>
      <c r="C118" s="3"/>
      <c r="D118" s="3"/>
      <c r="E118" s="3" t="s">
        <v>38</v>
      </c>
      <c r="F118" s="3" t="s">
        <v>39</v>
      </c>
      <c r="G118" s="4">
        <v>0</v>
      </c>
      <c r="H118" s="4">
        <v>0</v>
      </c>
      <c r="I118" s="4">
        <v>0</v>
      </c>
      <c r="J118" s="4">
        <v>0</v>
      </c>
      <c r="K118" s="4">
        <v>10855.380000000001</v>
      </c>
      <c r="L118" s="4">
        <v>10855.380000000001</v>
      </c>
      <c r="M118" s="4">
        <v>-32.729999999999997</v>
      </c>
      <c r="N118" s="4">
        <v>0</v>
      </c>
      <c r="O118" s="4">
        <v>0</v>
      </c>
      <c r="P118" s="4">
        <f t="shared" si="8"/>
        <v>0</v>
      </c>
    </row>
    <row r="119" spans="1:16" x14ac:dyDescent="0.3">
      <c r="A119" s="3"/>
      <c r="B119" s="5" t="s">
        <v>208</v>
      </c>
      <c r="C119" s="5"/>
      <c r="D119" s="5"/>
      <c r="E119" s="5"/>
      <c r="F119" s="5"/>
      <c r="G119" s="6">
        <f t="shared" ref="G119:O119" si="12">SUM(G103:G118)</f>
        <v>88059</v>
      </c>
      <c r="H119" s="6">
        <f t="shared" si="12"/>
        <v>145202.78</v>
      </c>
      <c r="I119" s="6">
        <f t="shared" si="12"/>
        <v>36982.39</v>
      </c>
      <c r="J119" s="6">
        <f t="shared" si="12"/>
        <v>73839.259999999995</v>
      </c>
      <c r="K119" s="6">
        <f t="shared" si="12"/>
        <v>42084.270000000004</v>
      </c>
      <c r="L119" s="6">
        <f t="shared" si="12"/>
        <v>280688.66000000003</v>
      </c>
      <c r="M119" s="6">
        <f t="shared" si="12"/>
        <v>173665.72</v>
      </c>
      <c r="N119" s="6">
        <f t="shared" si="12"/>
        <v>61462.39</v>
      </c>
      <c r="O119" s="6">
        <f t="shared" si="12"/>
        <v>124015.36</v>
      </c>
      <c r="P119" s="6">
        <f t="shared" si="8"/>
        <v>62552.97</v>
      </c>
    </row>
    <row r="120" spans="1:16" x14ac:dyDescent="0.3">
      <c r="A120" s="3"/>
      <c r="B120" s="3" t="s">
        <v>209</v>
      </c>
      <c r="C120" s="3" t="s">
        <v>210</v>
      </c>
      <c r="D120" s="3" t="s">
        <v>211</v>
      </c>
      <c r="E120" s="3" t="s">
        <v>155</v>
      </c>
      <c r="F120" s="3" t="s">
        <v>156</v>
      </c>
      <c r="G120" s="4">
        <v>11975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f t="shared" ref="P120:P182" si="13">+O120-N120</f>
        <v>0</v>
      </c>
    </row>
    <row r="121" spans="1:16" x14ac:dyDescent="0.3">
      <c r="A121" s="3"/>
      <c r="B121" s="3"/>
      <c r="C121" s="3" t="s">
        <v>212</v>
      </c>
      <c r="D121" s="3" t="s">
        <v>213</v>
      </c>
      <c r="E121" s="3" t="s">
        <v>34</v>
      </c>
      <c r="F121" s="3" t="s">
        <v>35</v>
      </c>
      <c r="G121" s="4">
        <v>4750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f t="shared" si="13"/>
        <v>0</v>
      </c>
    </row>
    <row r="122" spans="1:16" x14ac:dyDescent="0.3">
      <c r="A122" s="3"/>
      <c r="B122" s="3"/>
      <c r="C122" s="3"/>
      <c r="D122" s="3"/>
      <c r="E122" s="3" t="s">
        <v>110</v>
      </c>
      <c r="F122" s="3" t="s">
        <v>111</v>
      </c>
      <c r="G122" s="4">
        <v>0</v>
      </c>
      <c r="H122" s="4">
        <v>-4820</v>
      </c>
      <c r="I122" s="4">
        <v>-5000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f t="shared" si="13"/>
        <v>0</v>
      </c>
    </row>
    <row r="123" spans="1:16" x14ac:dyDescent="0.3">
      <c r="A123" s="3"/>
      <c r="B123" s="3"/>
      <c r="C123" s="3" t="s">
        <v>214</v>
      </c>
      <c r="D123" s="3" t="s">
        <v>215</v>
      </c>
      <c r="E123" s="3" t="s">
        <v>92</v>
      </c>
      <c r="F123" s="3" t="s">
        <v>93</v>
      </c>
      <c r="G123" s="4">
        <v>0</v>
      </c>
      <c r="H123" s="4">
        <v>0</v>
      </c>
      <c r="I123" s="4">
        <v>0</v>
      </c>
      <c r="J123" s="4">
        <v>50000</v>
      </c>
      <c r="K123" s="4">
        <v>50000</v>
      </c>
      <c r="L123" s="4">
        <v>50000</v>
      </c>
      <c r="M123" s="4">
        <v>0</v>
      </c>
      <c r="N123" s="4">
        <v>0</v>
      </c>
      <c r="O123" s="4">
        <v>0</v>
      </c>
      <c r="P123" s="4">
        <f t="shared" si="13"/>
        <v>0</v>
      </c>
    </row>
    <row r="124" spans="1:16" x14ac:dyDescent="0.3">
      <c r="A124" s="3"/>
      <c r="B124" s="3"/>
      <c r="C124" s="3" t="s">
        <v>216</v>
      </c>
      <c r="D124" s="3" t="s">
        <v>217</v>
      </c>
      <c r="E124" s="3" t="s">
        <v>92</v>
      </c>
      <c r="F124" s="3" t="s">
        <v>93</v>
      </c>
      <c r="G124" s="4">
        <v>0</v>
      </c>
      <c r="H124" s="4">
        <v>0</v>
      </c>
      <c r="I124" s="4">
        <v>0</v>
      </c>
      <c r="J124" s="4">
        <v>11646.38</v>
      </c>
      <c r="K124" s="4">
        <v>61243.32</v>
      </c>
      <c r="L124" s="4">
        <v>60145.31</v>
      </c>
      <c r="M124" s="4">
        <v>18396.12</v>
      </c>
      <c r="N124" s="4">
        <v>23318.7</v>
      </c>
      <c r="O124" s="4">
        <v>24975</v>
      </c>
      <c r="P124" s="4">
        <f t="shared" si="13"/>
        <v>1656.2999999999993</v>
      </c>
    </row>
    <row r="125" spans="1:16" x14ac:dyDescent="0.3">
      <c r="A125" s="3"/>
      <c r="B125" s="3"/>
      <c r="C125" s="3"/>
      <c r="D125" s="3"/>
      <c r="E125" s="3" t="s">
        <v>34</v>
      </c>
      <c r="F125" s="3" t="s">
        <v>35</v>
      </c>
      <c r="G125" s="4">
        <v>0</v>
      </c>
      <c r="H125" s="4">
        <v>0</v>
      </c>
      <c r="I125" s="4">
        <v>0</v>
      </c>
      <c r="J125" s="4">
        <v>249.55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f t="shared" si="13"/>
        <v>0</v>
      </c>
    </row>
    <row r="126" spans="1:16" x14ac:dyDescent="0.3">
      <c r="A126" s="3"/>
      <c r="B126" s="3"/>
      <c r="C126" s="3" t="s">
        <v>218</v>
      </c>
      <c r="D126" s="3" t="s">
        <v>219</v>
      </c>
      <c r="E126" s="3" t="s">
        <v>118</v>
      </c>
      <c r="F126" s="3" t="s">
        <v>119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-441500</v>
      </c>
      <c r="N126" s="4">
        <v>0</v>
      </c>
      <c r="O126" s="4">
        <v>0</v>
      </c>
      <c r="P126" s="4">
        <f t="shared" si="13"/>
        <v>0</v>
      </c>
    </row>
    <row r="127" spans="1:16" x14ac:dyDescent="0.3">
      <c r="A127" s="3"/>
      <c r="B127" s="5" t="s">
        <v>220</v>
      </c>
      <c r="C127" s="5"/>
      <c r="D127" s="5"/>
      <c r="E127" s="5"/>
      <c r="F127" s="5"/>
      <c r="G127" s="6">
        <f>SUM(G120:G126)</f>
        <v>16725</v>
      </c>
      <c r="H127" s="6">
        <f t="shared" ref="H127:O127" si="14">SUM(H120:H126)</f>
        <v>-4820</v>
      </c>
      <c r="I127" s="6">
        <f t="shared" si="14"/>
        <v>-5000</v>
      </c>
      <c r="J127" s="6">
        <f t="shared" si="14"/>
        <v>61895.93</v>
      </c>
      <c r="K127" s="6">
        <f t="shared" si="14"/>
        <v>111243.32</v>
      </c>
      <c r="L127" s="6">
        <f t="shared" si="14"/>
        <v>110145.31</v>
      </c>
      <c r="M127" s="6">
        <f t="shared" si="14"/>
        <v>-423103.88</v>
      </c>
      <c r="N127" s="6">
        <f t="shared" si="14"/>
        <v>23318.7</v>
      </c>
      <c r="O127" s="6">
        <f t="shared" si="14"/>
        <v>24975</v>
      </c>
      <c r="P127" s="6">
        <f t="shared" si="13"/>
        <v>1656.2999999999993</v>
      </c>
    </row>
    <row r="128" spans="1:16" x14ac:dyDescent="0.3">
      <c r="A128" s="3"/>
      <c r="B128" s="3" t="s">
        <v>221</v>
      </c>
      <c r="C128" s="3" t="s">
        <v>222</v>
      </c>
      <c r="D128" s="3" t="s">
        <v>223</v>
      </c>
      <c r="E128" s="3" t="s">
        <v>196</v>
      </c>
      <c r="F128" s="3" t="s">
        <v>197</v>
      </c>
      <c r="G128" s="4">
        <v>0</v>
      </c>
      <c r="H128" s="4">
        <v>0</v>
      </c>
      <c r="I128" s="4">
        <v>6930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f t="shared" si="13"/>
        <v>0</v>
      </c>
    </row>
    <row r="129" spans="1:16" x14ac:dyDescent="0.3">
      <c r="A129" s="3"/>
      <c r="B129" s="3"/>
      <c r="C129" s="3"/>
      <c r="D129" s="3"/>
      <c r="E129" s="3" t="s">
        <v>140</v>
      </c>
      <c r="F129" s="3" t="s">
        <v>141</v>
      </c>
      <c r="G129" s="4">
        <v>38364</v>
      </c>
      <c r="H129" s="4">
        <v>38364</v>
      </c>
      <c r="I129" s="4">
        <v>47955</v>
      </c>
      <c r="J129" s="4">
        <v>0</v>
      </c>
      <c r="K129" s="4">
        <v>326094</v>
      </c>
      <c r="L129" s="4">
        <v>383635.75</v>
      </c>
      <c r="M129" s="4">
        <v>173687.53</v>
      </c>
      <c r="N129" s="4">
        <v>66725.84</v>
      </c>
      <c r="O129" s="4">
        <v>159376.85999999999</v>
      </c>
      <c r="P129" s="4">
        <f t="shared" si="13"/>
        <v>92651.01999999999</v>
      </c>
    </row>
    <row r="130" spans="1:16" x14ac:dyDescent="0.3">
      <c r="A130" s="3"/>
      <c r="B130" s="3"/>
      <c r="C130" s="3"/>
      <c r="D130" s="3"/>
      <c r="E130" s="3" t="s">
        <v>224</v>
      </c>
      <c r="F130" s="3" t="s">
        <v>225</v>
      </c>
      <c r="G130" s="4">
        <v>0</v>
      </c>
      <c r="H130" s="4">
        <v>8750</v>
      </c>
      <c r="I130" s="4">
        <v>0</v>
      </c>
      <c r="J130" s="4">
        <v>0</v>
      </c>
      <c r="K130" s="4">
        <v>17500</v>
      </c>
      <c r="L130" s="4">
        <v>0</v>
      </c>
      <c r="M130" s="4">
        <v>0</v>
      </c>
      <c r="N130" s="4">
        <v>0</v>
      </c>
      <c r="O130" s="4">
        <v>0</v>
      </c>
      <c r="P130" s="4">
        <f t="shared" si="13"/>
        <v>0</v>
      </c>
    </row>
    <row r="131" spans="1:16" x14ac:dyDescent="0.3">
      <c r="A131" s="3"/>
      <c r="B131" s="3"/>
      <c r="C131" s="3"/>
      <c r="D131" s="3"/>
      <c r="E131" s="3" t="s">
        <v>134</v>
      </c>
      <c r="F131" s="3" t="s">
        <v>135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60000</v>
      </c>
      <c r="P131" s="4">
        <f t="shared" si="13"/>
        <v>60000</v>
      </c>
    </row>
    <row r="132" spans="1:16" x14ac:dyDescent="0.3">
      <c r="A132" s="3"/>
      <c r="B132" s="3"/>
      <c r="C132" s="3"/>
      <c r="D132" s="3"/>
      <c r="E132" s="3" t="s">
        <v>120</v>
      </c>
      <c r="F132" s="3" t="s">
        <v>121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29999.97</v>
      </c>
      <c r="M132" s="4">
        <v>29241</v>
      </c>
      <c r="N132" s="4">
        <v>0</v>
      </c>
      <c r="O132" s="4">
        <v>264498.11</v>
      </c>
      <c r="P132" s="4">
        <f t="shared" si="13"/>
        <v>264498.11</v>
      </c>
    </row>
    <row r="133" spans="1:16" x14ac:dyDescent="0.3">
      <c r="A133" s="3"/>
      <c r="B133" s="3"/>
      <c r="C133" s="3" t="s">
        <v>226</v>
      </c>
      <c r="D133" s="3" t="s">
        <v>227</v>
      </c>
      <c r="E133" s="3" t="s">
        <v>196</v>
      </c>
      <c r="F133" s="3" t="s">
        <v>197</v>
      </c>
      <c r="G133" s="4">
        <v>0</v>
      </c>
      <c r="H133" s="4">
        <v>0</v>
      </c>
      <c r="I133" s="4">
        <v>5208.7299999999996</v>
      </c>
      <c r="J133" s="4">
        <v>0</v>
      </c>
      <c r="K133" s="4">
        <v>4469.79</v>
      </c>
      <c r="L133" s="4">
        <v>0</v>
      </c>
      <c r="M133" s="4">
        <v>18957.05</v>
      </c>
      <c r="N133" s="4">
        <v>0</v>
      </c>
      <c r="O133" s="4">
        <v>0</v>
      </c>
      <c r="P133" s="4">
        <f t="shared" si="13"/>
        <v>0</v>
      </c>
    </row>
    <row r="134" spans="1:16" x14ac:dyDescent="0.3">
      <c r="A134" s="3"/>
      <c r="B134" s="3"/>
      <c r="C134" s="3"/>
      <c r="D134" s="3"/>
      <c r="E134" s="3" t="s">
        <v>106</v>
      </c>
      <c r="F134" s="3" t="s">
        <v>107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1000</v>
      </c>
      <c r="M134" s="4">
        <v>0</v>
      </c>
      <c r="N134" s="4">
        <v>0</v>
      </c>
      <c r="O134" s="4">
        <v>0</v>
      </c>
      <c r="P134" s="4">
        <f t="shared" si="13"/>
        <v>0</v>
      </c>
    </row>
    <row r="135" spans="1:16" x14ac:dyDescent="0.3">
      <c r="A135" s="3"/>
      <c r="B135" s="3"/>
      <c r="C135" s="3"/>
      <c r="D135" s="3"/>
      <c r="E135" s="3" t="s">
        <v>114</v>
      </c>
      <c r="F135" s="3" t="s">
        <v>115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52500</v>
      </c>
      <c r="N135" s="4">
        <v>20700</v>
      </c>
      <c r="O135" s="4">
        <v>34427.86</v>
      </c>
      <c r="P135" s="4">
        <f t="shared" si="13"/>
        <v>13727.86</v>
      </c>
    </row>
    <row r="136" spans="1:16" x14ac:dyDescent="0.3">
      <c r="A136" s="3"/>
      <c r="B136" s="3"/>
      <c r="C136" s="3"/>
      <c r="D136" s="3"/>
      <c r="E136" s="3" t="s">
        <v>202</v>
      </c>
      <c r="F136" s="3" t="s">
        <v>203</v>
      </c>
      <c r="G136" s="4">
        <v>0</v>
      </c>
      <c r="H136" s="4">
        <v>6746.96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f t="shared" si="13"/>
        <v>0</v>
      </c>
    </row>
    <row r="137" spans="1:16" x14ac:dyDescent="0.3">
      <c r="A137" s="3"/>
      <c r="B137" s="3"/>
      <c r="C137" s="3"/>
      <c r="D137" s="3"/>
      <c r="E137" s="3" t="s">
        <v>120</v>
      </c>
      <c r="F137" s="3" t="s">
        <v>121</v>
      </c>
      <c r="G137" s="4">
        <v>0</v>
      </c>
      <c r="H137" s="4">
        <v>0</v>
      </c>
      <c r="I137" s="4">
        <v>0</v>
      </c>
      <c r="J137" s="4">
        <v>0</v>
      </c>
      <c r="K137" s="4">
        <v>3000</v>
      </c>
      <c r="L137" s="4">
        <v>25033</v>
      </c>
      <c r="M137" s="4">
        <v>0</v>
      </c>
      <c r="N137" s="4">
        <v>5400</v>
      </c>
      <c r="O137" s="4">
        <v>0</v>
      </c>
      <c r="P137" s="4">
        <f t="shared" si="13"/>
        <v>-5400</v>
      </c>
    </row>
    <row r="138" spans="1:16" x14ac:dyDescent="0.3">
      <c r="A138" s="3"/>
      <c r="B138" s="3"/>
      <c r="C138" s="3"/>
      <c r="D138" s="3"/>
      <c r="E138" s="3" t="s">
        <v>204</v>
      </c>
      <c r="F138" s="3" t="s">
        <v>205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7183.6</v>
      </c>
      <c r="P138" s="4">
        <f t="shared" si="13"/>
        <v>7183.6</v>
      </c>
    </row>
    <row r="139" spans="1:16" x14ac:dyDescent="0.3">
      <c r="A139" s="3"/>
      <c r="B139" s="3"/>
      <c r="C139" s="3"/>
      <c r="D139" s="3"/>
      <c r="E139" s="3" t="s">
        <v>56</v>
      </c>
      <c r="F139" s="3" t="s">
        <v>57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3777.1499999999996</v>
      </c>
      <c r="M139" s="4">
        <v>3966.35</v>
      </c>
      <c r="N139" s="4">
        <v>4095.84</v>
      </c>
      <c r="O139" s="4">
        <v>4765.7700000000004</v>
      </c>
      <c r="P139" s="4">
        <f t="shared" si="13"/>
        <v>669.93000000000029</v>
      </c>
    </row>
    <row r="140" spans="1:16" x14ac:dyDescent="0.3">
      <c r="A140" s="3"/>
      <c r="B140" s="3"/>
      <c r="C140" s="3" t="s">
        <v>228</v>
      </c>
      <c r="D140" s="3" t="s">
        <v>229</v>
      </c>
      <c r="E140" s="3" t="s">
        <v>196</v>
      </c>
      <c r="F140" s="3" t="s">
        <v>197</v>
      </c>
      <c r="G140" s="4">
        <v>0</v>
      </c>
      <c r="H140" s="4">
        <v>0</v>
      </c>
      <c r="I140" s="4">
        <v>2999.7</v>
      </c>
      <c r="J140" s="4">
        <v>2999.7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f t="shared" si="13"/>
        <v>0</v>
      </c>
    </row>
    <row r="141" spans="1:16" x14ac:dyDescent="0.3">
      <c r="A141" s="3"/>
      <c r="B141" s="3"/>
      <c r="C141" s="3"/>
      <c r="D141" s="3"/>
      <c r="E141" s="3" t="s">
        <v>114</v>
      </c>
      <c r="F141" s="3" t="s">
        <v>115</v>
      </c>
      <c r="G141" s="4">
        <v>0</v>
      </c>
      <c r="H141" s="4">
        <v>0</v>
      </c>
      <c r="I141" s="4">
        <v>20000</v>
      </c>
      <c r="J141" s="4">
        <v>10000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f t="shared" si="13"/>
        <v>0</v>
      </c>
    </row>
    <row r="142" spans="1:16" x14ac:dyDescent="0.3">
      <c r="A142" s="3"/>
      <c r="B142" s="3"/>
      <c r="C142" s="3"/>
      <c r="D142" s="3"/>
      <c r="E142" s="3" t="s">
        <v>140</v>
      </c>
      <c r="F142" s="3" t="s">
        <v>141</v>
      </c>
      <c r="G142" s="4">
        <v>0</v>
      </c>
      <c r="H142" s="4">
        <v>0</v>
      </c>
      <c r="I142" s="4">
        <v>160683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f t="shared" si="13"/>
        <v>0</v>
      </c>
    </row>
    <row r="143" spans="1:16" x14ac:dyDescent="0.3">
      <c r="A143" s="3"/>
      <c r="B143" s="3"/>
      <c r="C143" s="3"/>
      <c r="D143" s="3"/>
      <c r="E143" s="3" t="s">
        <v>224</v>
      </c>
      <c r="F143" s="3" t="s">
        <v>225</v>
      </c>
      <c r="G143" s="4">
        <v>0</v>
      </c>
      <c r="H143" s="4">
        <v>0</v>
      </c>
      <c r="I143" s="4">
        <v>72000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33347.519999999997</v>
      </c>
      <c r="P143" s="4">
        <f t="shared" si="13"/>
        <v>33347.519999999997</v>
      </c>
    </row>
    <row r="144" spans="1:16" x14ac:dyDescent="0.3">
      <c r="A144" s="3"/>
      <c r="B144" s="3"/>
      <c r="C144" s="3"/>
      <c r="D144" s="3"/>
      <c r="E144" s="3" t="s">
        <v>92</v>
      </c>
      <c r="F144" s="3" t="s">
        <v>93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16930</v>
      </c>
      <c r="O144" s="4">
        <v>4500</v>
      </c>
      <c r="P144" s="4">
        <f t="shared" si="13"/>
        <v>-12430</v>
      </c>
    </row>
    <row r="145" spans="1:16" x14ac:dyDescent="0.3">
      <c r="A145" s="3"/>
      <c r="B145" s="3"/>
      <c r="C145" s="3"/>
      <c r="D145" s="3"/>
      <c r="E145" s="3" t="s">
        <v>155</v>
      </c>
      <c r="F145" s="3" t="s">
        <v>156</v>
      </c>
      <c r="G145" s="4">
        <v>200000</v>
      </c>
      <c r="H145" s="4">
        <v>43600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f t="shared" si="13"/>
        <v>0</v>
      </c>
    </row>
    <row r="146" spans="1:16" x14ac:dyDescent="0.3">
      <c r="A146" s="3"/>
      <c r="B146" s="3"/>
      <c r="C146" s="3"/>
      <c r="D146" s="3"/>
      <c r="E146" s="3" t="s">
        <v>118</v>
      </c>
      <c r="F146" s="3" t="s">
        <v>119</v>
      </c>
      <c r="G146" s="4">
        <v>0</v>
      </c>
      <c r="H146" s="4">
        <v>102585.44</v>
      </c>
      <c r="I146" s="4">
        <v>30910</v>
      </c>
      <c r="J146" s="4">
        <v>4162.6000000000004</v>
      </c>
      <c r="K146" s="4">
        <v>0</v>
      </c>
      <c r="L146" s="4">
        <v>950</v>
      </c>
      <c r="M146" s="4">
        <v>0</v>
      </c>
      <c r="N146" s="4">
        <v>43850</v>
      </c>
      <c r="O146" s="4">
        <v>37727.050000000003</v>
      </c>
      <c r="P146" s="4">
        <f t="shared" si="13"/>
        <v>-6122.9499999999971</v>
      </c>
    </row>
    <row r="147" spans="1:16" x14ac:dyDescent="0.3">
      <c r="A147" s="3"/>
      <c r="B147" s="3"/>
      <c r="C147" s="3"/>
      <c r="D147" s="3"/>
      <c r="E147" s="3" t="s">
        <v>98</v>
      </c>
      <c r="F147" s="3" t="s">
        <v>99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17998.2</v>
      </c>
      <c r="N147" s="4">
        <v>8999.1</v>
      </c>
      <c r="O147" s="4">
        <v>0</v>
      </c>
      <c r="P147" s="4">
        <f t="shared" si="13"/>
        <v>-8999.1</v>
      </c>
    </row>
    <row r="148" spans="1:16" x14ac:dyDescent="0.3">
      <c r="A148" s="3"/>
      <c r="B148" s="3"/>
      <c r="C148" s="3"/>
      <c r="D148" s="3"/>
      <c r="E148" s="3" t="s">
        <v>146</v>
      </c>
      <c r="F148" s="3" t="s">
        <v>147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23000</v>
      </c>
      <c r="P148" s="4">
        <f t="shared" si="13"/>
        <v>23000</v>
      </c>
    </row>
    <row r="149" spans="1:16" x14ac:dyDescent="0.3">
      <c r="A149" s="3"/>
      <c r="B149" s="3"/>
      <c r="C149" s="3"/>
      <c r="D149" s="3"/>
      <c r="E149" s="3" t="s">
        <v>36</v>
      </c>
      <c r="F149" s="3" t="s">
        <v>37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-5586.14</v>
      </c>
      <c r="N149" s="4">
        <v>1734.05</v>
      </c>
      <c r="O149" s="4">
        <v>0</v>
      </c>
      <c r="P149" s="4">
        <f t="shared" si="13"/>
        <v>-1734.05</v>
      </c>
    </row>
    <row r="150" spans="1:16" x14ac:dyDescent="0.3">
      <c r="A150" s="3"/>
      <c r="B150" s="3"/>
      <c r="C150" s="3"/>
      <c r="D150" s="3"/>
      <c r="E150" s="3" t="s">
        <v>134</v>
      </c>
      <c r="F150" s="3" t="s">
        <v>135</v>
      </c>
      <c r="G150" s="4">
        <v>0</v>
      </c>
      <c r="H150" s="4">
        <v>0</v>
      </c>
      <c r="I150" s="4">
        <v>60000</v>
      </c>
      <c r="J150" s="4">
        <v>42500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f t="shared" si="13"/>
        <v>0</v>
      </c>
    </row>
    <row r="151" spans="1:16" x14ac:dyDescent="0.3">
      <c r="A151" s="3"/>
      <c r="B151" s="3"/>
      <c r="C151" s="3"/>
      <c r="D151" s="3"/>
      <c r="E151" s="3" t="s">
        <v>120</v>
      </c>
      <c r="F151" s="3" t="s">
        <v>121</v>
      </c>
      <c r="G151" s="4">
        <v>0</v>
      </c>
      <c r="H151" s="4">
        <v>0</v>
      </c>
      <c r="I151" s="4">
        <v>0</v>
      </c>
      <c r="J151" s="4">
        <v>200000</v>
      </c>
      <c r="K151" s="4">
        <v>-198377.96000000002</v>
      </c>
      <c r="L151" s="4">
        <v>233612.79999999999</v>
      </c>
      <c r="M151" s="4">
        <v>86423.92</v>
      </c>
      <c r="N151" s="4">
        <v>16000</v>
      </c>
      <c r="O151" s="4">
        <v>99149.98</v>
      </c>
      <c r="P151" s="4">
        <f t="shared" si="13"/>
        <v>83149.98</v>
      </c>
    </row>
    <row r="152" spans="1:16" x14ac:dyDescent="0.3">
      <c r="A152" s="3"/>
      <c r="B152" s="3"/>
      <c r="C152" s="3"/>
      <c r="D152" s="3"/>
      <c r="E152" s="3" t="s">
        <v>38</v>
      </c>
      <c r="F152" s="3" t="s">
        <v>39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50995</v>
      </c>
      <c r="M152" s="4">
        <v>0</v>
      </c>
      <c r="N152" s="4">
        <v>0</v>
      </c>
      <c r="O152" s="4">
        <v>43414</v>
      </c>
      <c r="P152" s="4">
        <f t="shared" si="13"/>
        <v>43414</v>
      </c>
    </row>
    <row r="153" spans="1:16" x14ac:dyDescent="0.3">
      <c r="A153" s="3"/>
      <c r="B153" s="3"/>
      <c r="C153" s="3" t="s">
        <v>230</v>
      </c>
      <c r="D153" s="3" t="s">
        <v>231</v>
      </c>
      <c r="E153" s="3" t="s">
        <v>159</v>
      </c>
      <c r="F153" s="3" t="s">
        <v>160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-827.17000000000007</v>
      </c>
      <c r="O153" s="4">
        <v>-2539.9299999999998</v>
      </c>
      <c r="P153" s="4">
        <f t="shared" si="13"/>
        <v>-1712.7599999999998</v>
      </c>
    </row>
    <row r="154" spans="1:16" x14ac:dyDescent="0.3">
      <c r="A154" s="3"/>
      <c r="B154" s="3"/>
      <c r="C154" s="3"/>
      <c r="D154" s="3"/>
      <c r="E154" s="3" t="s">
        <v>28</v>
      </c>
      <c r="F154" s="3" t="s">
        <v>29</v>
      </c>
      <c r="G154" s="4">
        <v>-5697.36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f t="shared" si="13"/>
        <v>0</v>
      </c>
    </row>
    <row r="155" spans="1:16" x14ac:dyDescent="0.3">
      <c r="A155" s="3"/>
      <c r="B155" s="3"/>
      <c r="C155" s="3"/>
      <c r="D155" s="3"/>
      <c r="E155" s="3" t="s">
        <v>118</v>
      </c>
      <c r="F155" s="3" t="s">
        <v>119</v>
      </c>
      <c r="G155" s="4">
        <v>0</v>
      </c>
      <c r="H155" s="4">
        <v>0</v>
      </c>
      <c r="I155" s="4">
        <v>-15964.69</v>
      </c>
      <c r="J155" s="4">
        <v>4248</v>
      </c>
      <c r="K155" s="4">
        <v>16850.88</v>
      </c>
      <c r="L155" s="4">
        <v>2973.6</v>
      </c>
      <c r="M155" s="4">
        <v>0</v>
      </c>
      <c r="N155" s="4">
        <v>21.490000000000236</v>
      </c>
      <c r="O155" s="4">
        <v>49474.07</v>
      </c>
      <c r="P155" s="4">
        <f t="shared" si="13"/>
        <v>49452.58</v>
      </c>
    </row>
    <row r="156" spans="1:16" x14ac:dyDescent="0.3">
      <c r="A156" s="3"/>
      <c r="B156" s="3"/>
      <c r="C156" s="3"/>
      <c r="D156" s="3"/>
      <c r="E156" s="3" t="s">
        <v>232</v>
      </c>
      <c r="F156" s="3" t="s">
        <v>233</v>
      </c>
      <c r="G156" s="4">
        <v>0</v>
      </c>
      <c r="H156" s="4">
        <v>0</v>
      </c>
      <c r="I156" s="4">
        <v>0</v>
      </c>
      <c r="J156" s="4">
        <v>0</v>
      </c>
      <c r="K156" s="4">
        <v>234750</v>
      </c>
      <c r="L156" s="4">
        <v>189165.88</v>
      </c>
      <c r="M156" s="4">
        <v>-2.8</v>
      </c>
      <c r="N156" s="4">
        <v>-206.44000000000003</v>
      </c>
      <c r="O156" s="4">
        <v>0</v>
      </c>
      <c r="P156" s="4">
        <f t="shared" si="13"/>
        <v>206.44000000000003</v>
      </c>
    </row>
    <row r="157" spans="1:16" x14ac:dyDescent="0.3">
      <c r="A157" s="3"/>
      <c r="B157" s="3"/>
      <c r="C157" s="3"/>
      <c r="D157" s="3"/>
      <c r="E157" s="3" t="s">
        <v>146</v>
      </c>
      <c r="F157" s="3" t="s">
        <v>147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8910.619999999999</v>
      </c>
      <c r="O157" s="4">
        <v>5413.64</v>
      </c>
      <c r="P157" s="4">
        <f t="shared" si="13"/>
        <v>-3496.9799999999987</v>
      </c>
    </row>
    <row r="158" spans="1:16" x14ac:dyDescent="0.3">
      <c r="A158" s="3"/>
      <c r="B158" s="3"/>
      <c r="C158" s="3"/>
      <c r="D158" s="3"/>
      <c r="E158" s="3" t="s">
        <v>134</v>
      </c>
      <c r="F158" s="3" t="s">
        <v>135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12567.5</v>
      </c>
      <c r="M158" s="4">
        <v>0</v>
      </c>
      <c r="N158" s="4">
        <v>0</v>
      </c>
      <c r="O158" s="4">
        <v>0</v>
      </c>
      <c r="P158" s="4">
        <f t="shared" si="13"/>
        <v>0</v>
      </c>
    </row>
    <row r="159" spans="1:16" x14ac:dyDescent="0.3">
      <c r="A159" s="3"/>
      <c r="B159" s="3"/>
      <c r="C159" s="3"/>
      <c r="D159" s="3"/>
      <c r="E159" s="3" t="s">
        <v>120</v>
      </c>
      <c r="F159" s="3" t="s">
        <v>121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14634.14</v>
      </c>
      <c r="M159" s="4">
        <v>0</v>
      </c>
      <c r="N159" s="4">
        <v>7733.6</v>
      </c>
      <c r="O159" s="4">
        <v>0</v>
      </c>
      <c r="P159" s="4">
        <f t="shared" si="13"/>
        <v>-7733.6</v>
      </c>
    </row>
    <row r="160" spans="1:16" x14ac:dyDescent="0.3">
      <c r="A160" s="3"/>
      <c r="B160" s="3"/>
      <c r="C160" s="3" t="s">
        <v>234</v>
      </c>
      <c r="D160" s="3" t="s">
        <v>235</v>
      </c>
      <c r="E160" s="3" t="s">
        <v>114</v>
      </c>
      <c r="F160" s="3" t="s">
        <v>115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5396.06</v>
      </c>
      <c r="M160" s="4">
        <v>0</v>
      </c>
      <c r="N160" s="4">
        <v>0</v>
      </c>
      <c r="O160" s="4">
        <v>0</v>
      </c>
      <c r="P160" s="4">
        <f t="shared" si="13"/>
        <v>0</v>
      </c>
    </row>
    <row r="161" spans="1:16" x14ac:dyDescent="0.3">
      <c r="A161" s="3"/>
      <c r="B161" s="3"/>
      <c r="C161" s="3"/>
      <c r="D161" s="3"/>
      <c r="E161" s="3" t="s">
        <v>174</v>
      </c>
      <c r="F161" s="3" t="s">
        <v>175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19156.669999999998</v>
      </c>
      <c r="M161" s="4">
        <v>0</v>
      </c>
      <c r="N161" s="4">
        <v>0</v>
      </c>
      <c r="O161" s="4">
        <v>0</v>
      </c>
      <c r="P161" s="4">
        <f t="shared" si="13"/>
        <v>0</v>
      </c>
    </row>
    <row r="162" spans="1:16" x14ac:dyDescent="0.3">
      <c r="A162" s="3"/>
      <c r="B162" s="3"/>
      <c r="C162" s="3" t="s">
        <v>236</v>
      </c>
      <c r="D162" s="3" t="s">
        <v>237</v>
      </c>
      <c r="E162" s="3" t="s">
        <v>92</v>
      </c>
      <c r="F162" s="3" t="s">
        <v>93</v>
      </c>
      <c r="G162" s="4">
        <v>0</v>
      </c>
      <c r="H162" s="4">
        <v>0</v>
      </c>
      <c r="I162" s="4">
        <v>0</v>
      </c>
      <c r="J162" s="4">
        <v>59000</v>
      </c>
      <c r="K162" s="4">
        <v>0</v>
      </c>
      <c r="L162" s="4">
        <v>0</v>
      </c>
      <c r="M162" s="4">
        <v>30000</v>
      </c>
      <c r="N162" s="4">
        <v>0</v>
      </c>
      <c r="O162" s="4">
        <v>33664.620000000003</v>
      </c>
      <c r="P162" s="4">
        <f t="shared" si="13"/>
        <v>33664.620000000003</v>
      </c>
    </row>
    <row r="163" spans="1:16" x14ac:dyDescent="0.3">
      <c r="A163" s="3"/>
      <c r="B163" s="5" t="s">
        <v>238</v>
      </c>
      <c r="C163" s="5"/>
      <c r="D163" s="5"/>
      <c r="E163" s="5"/>
      <c r="F163" s="5"/>
      <c r="G163" s="6">
        <f>SUM(G128:G162)</f>
        <v>232666.64</v>
      </c>
      <c r="H163" s="6">
        <f t="shared" ref="H163:O163" si="15">SUM(H128:H162)</f>
        <v>200046.4</v>
      </c>
      <c r="I163" s="6">
        <f t="shared" si="15"/>
        <v>390721.74</v>
      </c>
      <c r="J163" s="6">
        <f t="shared" si="15"/>
        <v>322910.3</v>
      </c>
      <c r="K163" s="6">
        <f t="shared" si="15"/>
        <v>404286.70999999996</v>
      </c>
      <c r="L163" s="6">
        <f t="shared" si="15"/>
        <v>972897.52</v>
      </c>
      <c r="M163" s="6">
        <f t="shared" si="15"/>
        <v>407185.10999999993</v>
      </c>
      <c r="N163" s="6">
        <f t="shared" si="15"/>
        <v>200066.92999999996</v>
      </c>
      <c r="O163" s="6">
        <f t="shared" si="15"/>
        <v>857403.14999999991</v>
      </c>
      <c r="P163" s="6">
        <f t="shared" si="13"/>
        <v>657336.22</v>
      </c>
    </row>
    <row r="164" spans="1:16" x14ac:dyDescent="0.3">
      <c r="A164" s="3"/>
      <c r="B164" s="3" t="s">
        <v>239</v>
      </c>
      <c r="C164" s="3" t="s">
        <v>240</v>
      </c>
      <c r="D164" s="3" t="s">
        <v>241</v>
      </c>
      <c r="E164" s="3" t="s">
        <v>114</v>
      </c>
      <c r="F164" s="3" t="s">
        <v>115</v>
      </c>
      <c r="G164" s="4">
        <v>3000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f t="shared" si="13"/>
        <v>0</v>
      </c>
    </row>
    <row r="165" spans="1:16" x14ac:dyDescent="0.3">
      <c r="A165" s="3"/>
      <c r="B165" s="3"/>
      <c r="C165" s="3"/>
      <c r="D165" s="3"/>
      <c r="E165" s="3" t="s">
        <v>155</v>
      </c>
      <c r="F165" s="3" t="s">
        <v>156</v>
      </c>
      <c r="G165" s="4">
        <v>17500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f t="shared" si="13"/>
        <v>0</v>
      </c>
    </row>
    <row r="166" spans="1:16" x14ac:dyDescent="0.3">
      <c r="A166" s="3"/>
      <c r="B166" s="3"/>
      <c r="C166" s="3" t="s">
        <v>242</v>
      </c>
      <c r="D166" s="3" t="s">
        <v>243</v>
      </c>
      <c r="E166" s="3" t="s">
        <v>92</v>
      </c>
      <c r="F166" s="3" t="s">
        <v>93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1250</v>
      </c>
      <c r="O166" s="4">
        <v>0</v>
      </c>
      <c r="P166" s="4">
        <f t="shared" si="13"/>
        <v>-1250</v>
      </c>
    </row>
    <row r="167" spans="1:16" x14ac:dyDescent="0.3">
      <c r="A167" s="3"/>
      <c r="B167" s="3"/>
      <c r="C167" s="3"/>
      <c r="D167" s="3"/>
      <c r="E167" s="3" t="s">
        <v>26</v>
      </c>
      <c r="F167" s="3" t="s">
        <v>27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30000</v>
      </c>
      <c r="O167" s="4">
        <v>0</v>
      </c>
      <c r="P167" s="4">
        <f t="shared" si="13"/>
        <v>-30000</v>
      </c>
    </row>
    <row r="168" spans="1:16" x14ac:dyDescent="0.3">
      <c r="A168" s="3"/>
      <c r="B168" s="3"/>
      <c r="C168" s="3"/>
      <c r="D168" s="3"/>
      <c r="E168" s="3" t="s">
        <v>28</v>
      </c>
      <c r="F168" s="3" t="s">
        <v>29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4875</v>
      </c>
      <c r="N168" s="4">
        <v>0</v>
      </c>
      <c r="O168" s="4">
        <v>0</v>
      </c>
      <c r="P168" s="4">
        <f t="shared" si="13"/>
        <v>0</v>
      </c>
    </row>
    <row r="169" spans="1:16" x14ac:dyDescent="0.3">
      <c r="A169" s="3"/>
      <c r="B169" s="3"/>
      <c r="C169" s="3"/>
      <c r="D169" s="3"/>
      <c r="E169" s="3" t="s">
        <v>118</v>
      </c>
      <c r="F169" s="3" t="s">
        <v>119</v>
      </c>
      <c r="G169" s="4">
        <v>0</v>
      </c>
      <c r="H169" s="4">
        <v>0</v>
      </c>
      <c r="I169" s="4">
        <v>0</v>
      </c>
      <c r="J169" s="4">
        <v>15000</v>
      </c>
      <c r="K169" s="4">
        <v>0</v>
      </c>
      <c r="L169" s="4">
        <v>0</v>
      </c>
      <c r="M169" s="4">
        <v>36445.410000000003</v>
      </c>
      <c r="N169" s="4">
        <v>11934</v>
      </c>
      <c r="O169" s="4">
        <v>9921</v>
      </c>
      <c r="P169" s="4">
        <f t="shared" si="13"/>
        <v>-2013</v>
      </c>
    </row>
    <row r="170" spans="1:16" x14ac:dyDescent="0.3">
      <c r="A170" s="3"/>
      <c r="B170" s="3"/>
      <c r="C170" s="3"/>
      <c r="D170" s="3"/>
      <c r="E170" s="3" t="s">
        <v>34</v>
      </c>
      <c r="F170" s="3" t="s">
        <v>35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37462.03</v>
      </c>
      <c r="N170" s="4">
        <v>0</v>
      </c>
      <c r="O170" s="4">
        <v>0</v>
      </c>
      <c r="P170" s="4">
        <f t="shared" si="13"/>
        <v>0</v>
      </c>
    </row>
    <row r="171" spans="1:16" x14ac:dyDescent="0.3">
      <c r="A171" s="3"/>
      <c r="B171" s="3"/>
      <c r="C171" s="3"/>
      <c r="D171" s="3"/>
      <c r="E171" s="3" t="s">
        <v>202</v>
      </c>
      <c r="F171" s="3" t="s">
        <v>203</v>
      </c>
      <c r="G171" s="4">
        <v>0</v>
      </c>
      <c r="H171" s="4">
        <v>4262.7700000000004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1000</v>
      </c>
      <c r="P171" s="4">
        <f t="shared" si="13"/>
        <v>1000</v>
      </c>
    </row>
    <row r="172" spans="1:16" x14ac:dyDescent="0.3">
      <c r="A172" s="3"/>
      <c r="B172" s="3"/>
      <c r="C172" s="3"/>
      <c r="D172" s="3"/>
      <c r="E172" s="3" t="s">
        <v>58</v>
      </c>
      <c r="F172" s="3" t="s">
        <v>59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-68320.3</v>
      </c>
      <c r="N172" s="4">
        <v>0</v>
      </c>
      <c r="O172" s="4">
        <v>0</v>
      </c>
      <c r="P172" s="4">
        <f t="shared" si="13"/>
        <v>0</v>
      </c>
    </row>
    <row r="173" spans="1:16" x14ac:dyDescent="0.3">
      <c r="A173" s="3"/>
      <c r="B173" s="3"/>
      <c r="C173" s="3" t="s">
        <v>244</v>
      </c>
      <c r="D173" s="3" t="s">
        <v>245</v>
      </c>
      <c r="E173" s="3" t="s">
        <v>224</v>
      </c>
      <c r="F173" s="3" t="s">
        <v>225</v>
      </c>
      <c r="G173" s="4">
        <v>0</v>
      </c>
      <c r="H173" s="4">
        <v>0</v>
      </c>
      <c r="I173" s="4">
        <v>0</v>
      </c>
      <c r="J173" s="4">
        <v>0</v>
      </c>
      <c r="K173" s="4">
        <v>160000</v>
      </c>
      <c r="L173" s="4">
        <v>0</v>
      </c>
      <c r="M173" s="4">
        <v>0</v>
      </c>
      <c r="N173" s="4">
        <v>0</v>
      </c>
      <c r="O173" s="4">
        <v>0</v>
      </c>
      <c r="P173" s="4">
        <f t="shared" si="13"/>
        <v>0</v>
      </c>
    </row>
    <row r="174" spans="1:16" x14ac:dyDescent="0.3">
      <c r="A174" s="3"/>
      <c r="B174" s="3"/>
      <c r="C174" s="3"/>
      <c r="D174" s="3"/>
      <c r="E174" s="3" t="s">
        <v>28</v>
      </c>
      <c r="F174" s="3" t="s">
        <v>29</v>
      </c>
      <c r="G174" s="4">
        <v>68393.67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f t="shared" si="13"/>
        <v>0</v>
      </c>
    </row>
    <row r="175" spans="1:16" x14ac:dyDescent="0.3">
      <c r="A175" s="3"/>
      <c r="B175" s="3"/>
      <c r="C175" s="3"/>
      <c r="D175" s="3"/>
      <c r="E175" s="3" t="s">
        <v>118</v>
      </c>
      <c r="F175" s="3" t="s">
        <v>119</v>
      </c>
      <c r="G175" s="4">
        <v>0</v>
      </c>
      <c r="H175" s="4">
        <v>28657.800000000003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f t="shared" si="13"/>
        <v>0</v>
      </c>
    </row>
    <row r="176" spans="1:16" x14ac:dyDescent="0.3">
      <c r="A176" s="3"/>
      <c r="B176" s="3"/>
      <c r="C176" s="3"/>
      <c r="D176" s="3"/>
      <c r="E176" s="3" t="s">
        <v>34</v>
      </c>
      <c r="F176" s="3" t="s">
        <v>35</v>
      </c>
      <c r="G176" s="4">
        <v>0</v>
      </c>
      <c r="H176" s="4">
        <v>0</v>
      </c>
      <c r="I176" s="4">
        <v>1000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f t="shared" si="13"/>
        <v>0</v>
      </c>
    </row>
    <row r="177" spans="1:16" x14ac:dyDescent="0.3">
      <c r="A177" s="3"/>
      <c r="B177" s="3"/>
      <c r="C177" s="3" t="s">
        <v>246</v>
      </c>
      <c r="D177" s="3" t="s">
        <v>247</v>
      </c>
      <c r="E177" s="3" t="s">
        <v>118</v>
      </c>
      <c r="F177" s="3" t="s">
        <v>119</v>
      </c>
      <c r="G177" s="4">
        <v>0</v>
      </c>
      <c r="H177" s="4">
        <v>0</v>
      </c>
      <c r="I177" s="4">
        <v>12500</v>
      </c>
      <c r="J177" s="4">
        <v>0</v>
      </c>
      <c r="K177" s="4">
        <v>0</v>
      </c>
      <c r="L177" s="4">
        <v>14734.85</v>
      </c>
      <c r="M177" s="4">
        <v>-75.5</v>
      </c>
      <c r="N177" s="4">
        <v>0</v>
      </c>
      <c r="O177" s="4">
        <v>0</v>
      </c>
      <c r="P177" s="4">
        <f t="shared" si="13"/>
        <v>0</v>
      </c>
    </row>
    <row r="178" spans="1:16" x14ac:dyDescent="0.3">
      <c r="A178" s="3"/>
      <c r="B178" s="5" t="s">
        <v>248</v>
      </c>
      <c r="C178" s="5"/>
      <c r="D178" s="5"/>
      <c r="E178" s="5"/>
      <c r="F178" s="5"/>
      <c r="G178" s="6">
        <f t="shared" ref="G178:O178" si="16">SUM(G164:G177)</f>
        <v>88893.67</v>
      </c>
      <c r="H178" s="6">
        <f t="shared" si="16"/>
        <v>32920.570000000007</v>
      </c>
      <c r="I178" s="6">
        <f t="shared" si="16"/>
        <v>13500</v>
      </c>
      <c r="J178" s="6">
        <f t="shared" si="16"/>
        <v>15000</v>
      </c>
      <c r="K178" s="6">
        <f t="shared" si="16"/>
        <v>160000</v>
      </c>
      <c r="L178" s="6">
        <f t="shared" si="16"/>
        <v>14734.85</v>
      </c>
      <c r="M178" s="6">
        <f t="shared" si="16"/>
        <v>10386.64</v>
      </c>
      <c r="N178" s="6">
        <f t="shared" si="16"/>
        <v>43184</v>
      </c>
      <c r="O178" s="6">
        <f t="shared" si="16"/>
        <v>10921</v>
      </c>
      <c r="P178" s="6">
        <f t="shared" si="13"/>
        <v>-32263</v>
      </c>
    </row>
    <row r="179" spans="1:16" x14ac:dyDescent="0.3">
      <c r="A179" s="7" t="s">
        <v>249</v>
      </c>
      <c r="B179" s="7"/>
      <c r="C179" s="7"/>
      <c r="D179" s="7"/>
      <c r="E179" s="7"/>
      <c r="F179" s="7"/>
      <c r="G179" s="8">
        <f t="shared" ref="G179:O179" si="17">+G178+G163+G127+G119+G102+G96+G65+G54</f>
        <v>2911054.3000000045</v>
      </c>
      <c r="H179" s="8">
        <f t="shared" si="17"/>
        <v>2690894.290000001</v>
      </c>
      <c r="I179" s="8">
        <f t="shared" si="17"/>
        <v>3004301.4500000011</v>
      </c>
      <c r="J179" s="8">
        <f t="shared" si="17"/>
        <v>1171904.9699999997</v>
      </c>
      <c r="K179" s="8">
        <f t="shared" si="17"/>
        <v>2088820.2999999993</v>
      </c>
      <c r="L179" s="8">
        <f t="shared" si="17"/>
        <v>3327023.62</v>
      </c>
      <c r="M179" s="8">
        <f t="shared" si="17"/>
        <v>794835.12999999977</v>
      </c>
      <c r="N179" s="8">
        <f t="shared" si="17"/>
        <v>2175444.64</v>
      </c>
      <c r="O179" s="8">
        <f t="shared" si="17"/>
        <v>3741436.3199999994</v>
      </c>
      <c r="P179" s="8">
        <f t="shared" si="13"/>
        <v>1565991.6799999992</v>
      </c>
    </row>
    <row r="180" spans="1:16" x14ac:dyDescent="0.3">
      <c r="A180" s="3" t="s">
        <v>250</v>
      </c>
      <c r="B180" s="3" t="s">
        <v>251</v>
      </c>
      <c r="C180" s="3" t="s">
        <v>252</v>
      </c>
      <c r="D180" s="3" t="s">
        <v>253</v>
      </c>
      <c r="E180" s="3" t="s">
        <v>80</v>
      </c>
      <c r="F180" s="3" t="s">
        <v>81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-5713.89</v>
      </c>
      <c r="O180" s="4">
        <v>0</v>
      </c>
      <c r="P180" s="4">
        <f t="shared" si="13"/>
        <v>5713.89</v>
      </c>
    </row>
    <row r="181" spans="1:16" x14ac:dyDescent="0.3">
      <c r="A181" s="3"/>
      <c r="B181" s="3"/>
      <c r="C181" s="3"/>
      <c r="D181" s="3"/>
      <c r="E181" s="3" t="s">
        <v>110</v>
      </c>
      <c r="F181" s="3" t="s">
        <v>111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168997</v>
      </c>
      <c r="N181" s="4">
        <v>-25602.33</v>
      </c>
      <c r="O181" s="4">
        <v>0</v>
      </c>
      <c r="P181" s="4">
        <f t="shared" si="13"/>
        <v>25602.33</v>
      </c>
    </row>
    <row r="182" spans="1:16" x14ac:dyDescent="0.3">
      <c r="A182" s="3"/>
      <c r="B182" s="3"/>
      <c r="C182" s="3"/>
      <c r="D182" s="3"/>
      <c r="E182" s="3" t="s">
        <v>254</v>
      </c>
      <c r="F182" s="3" t="s">
        <v>255</v>
      </c>
      <c r="G182" s="4">
        <v>0</v>
      </c>
      <c r="H182" s="4">
        <v>-12411.44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f t="shared" si="13"/>
        <v>0</v>
      </c>
    </row>
    <row r="183" spans="1:16" x14ac:dyDescent="0.3">
      <c r="A183" s="3"/>
      <c r="B183" s="3"/>
      <c r="C183" s="3"/>
      <c r="D183" s="3"/>
      <c r="E183" s="3" t="s">
        <v>120</v>
      </c>
      <c r="F183" s="3" t="s">
        <v>121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391.76000000000005</v>
      </c>
      <c r="N183" s="4">
        <v>0</v>
      </c>
      <c r="O183" s="4">
        <v>0</v>
      </c>
      <c r="P183" s="4">
        <f t="shared" ref="P183:P242" si="18">+O183-N183</f>
        <v>0</v>
      </c>
    </row>
    <row r="184" spans="1:16" x14ac:dyDescent="0.3">
      <c r="A184" s="3"/>
      <c r="B184" s="3"/>
      <c r="C184" s="3"/>
      <c r="D184" s="3"/>
      <c r="E184" s="3" t="s">
        <v>256</v>
      </c>
      <c r="F184" s="3" t="s">
        <v>257</v>
      </c>
      <c r="G184" s="4">
        <v>0</v>
      </c>
      <c r="H184" s="4">
        <v>0</v>
      </c>
      <c r="I184" s="4">
        <v>0</v>
      </c>
      <c r="J184" s="4">
        <v>0</v>
      </c>
      <c r="K184" s="4">
        <v>33743</v>
      </c>
      <c r="L184" s="4">
        <v>0</v>
      </c>
      <c r="M184" s="4">
        <v>0</v>
      </c>
      <c r="N184" s="4">
        <v>0</v>
      </c>
      <c r="O184" s="4">
        <v>0</v>
      </c>
      <c r="P184" s="4">
        <f t="shared" si="18"/>
        <v>0</v>
      </c>
    </row>
    <row r="185" spans="1:16" x14ac:dyDescent="0.3">
      <c r="A185" s="3"/>
      <c r="B185" s="3"/>
      <c r="C185" s="3" t="s">
        <v>258</v>
      </c>
      <c r="D185" s="3" t="s">
        <v>259</v>
      </c>
      <c r="E185" s="3" t="s">
        <v>80</v>
      </c>
      <c r="F185" s="3" t="s">
        <v>81</v>
      </c>
      <c r="G185" s="4">
        <v>0</v>
      </c>
      <c r="H185" s="4">
        <v>0</v>
      </c>
      <c r="I185" s="4">
        <v>0</v>
      </c>
      <c r="J185" s="4">
        <v>0</v>
      </c>
      <c r="K185" s="4">
        <v>28614</v>
      </c>
      <c r="L185" s="4">
        <v>4340.68</v>
      </c>
      <c r="M185" s="4">
        <v>0</v>
      </c>
      <c r="N185" s="4">
        <v>0</v>
      </c>
      <c r="O185" s="4">
        <v>0</v>
      </c>
      <c r="P185" s="4">
        <f t="shared" si="18"/>
        <v>0</v>
      </c>
    </row>
    <row r="186" spans="1:16" x14ac:dyDescent="0.3">
      <c r="A186" s="3"/>
      <c r="B186" s="3"/>
      <c r="C186" s="3"/>
      <c r="D186" s="3"/>
      <c r="E186" s="3" t="s">
        <v>254</v>
      </c>
      <c r="F186" s="3" t="s">
        <v>255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97057.21</v>
      </c>
      <c r="M186" s="4">
        <v>0</v>
      </c>
      <c r="N186" s="4">
        <v>0</v>
      </c>
      <c r="O186" s="4">
        <v>0</v>
      </c>
      <c r="P186" s="4">
        <f t="shared" si="18"/>
        <v>0</v>
      </c>
    </row>
    <row r="187" spans="1:16" x14ac:dyDescent="0.3">
      <c r="A187" s="3"/>
      <c r="B187" s="3"/>
      <c r="C187" s="3"/>
      <c r="D187" s="3"/>
      <c r="E187" s="3" t="s">
        <v>120</v>
      </c>
      <c r="F187" s="3" t="s">
        <v>121</v>
      </c>
      <c r="G187" s="4">
        <v>0</v>
      </c>
      <c r="H187" s="4">
        <v>0</v>
      </c>
      <c r="I187" s="4">
        <v>0</v>
      </c>
      <c r="J187" s="4">
        <v>7567.2</v>
      </c>
      <c r="K187" s="4">
        <v>55247.29</v>
      </c>
      <c r="L187" s="4">
        <v>88508.06</v>
      </c>
      <c r="M187" s="4">
        <v>0</v>
      </c>
      <c r="N187" s="4">
        <v>0</v>
      </c>
      <c r="O187" s="4">
        <v>0</v>
      </c>
      <c r="P187" s="4">
        <f t="shared" si="18"/>
        <v>0</v>
      </c>
    </row>
    <row r="188" spans="1:16" x14ac:dyDescent="0.3">
      <c r="A188" s="3"/>
      <c r="B188" s="3"/>
      <c r="C188" s="3" t="s">
        <v>260</v>
      </c>
      <c r="D188" s="3" t="s">
        <v>261</v>
      </c>
      <c r="E188" s="3" t="s">
        <v>262</v>
      </c>
      <c r="F188" s="3" t="s">
        <v>81</v>
      </c>
      <c r="G188" s="4">
        <v>1570941.6400000011</v>
      </c>
      <c r="H188" s="4">
        <v>1382139.2900000024</v>
      </c>
      <c r="I188" s="4">
        <v>1350125.1400000008</v>
      </c>
      <c r="J188" s="4">
        <v>1339785.6300000001</v>
      </c>
      <c r="K188" s="4">
        <v>1406218.620000001</v>
      </c>
      <c r="L188" s="4">
        <v>1453391.5899999999</v>
      </c>
      <c r="M188" s="4">
        <v>-4040.32</v>
      </c>
      <c r="N188" s="4">
        <v>65818.749999999985</v>
      </c>
      <c r="O188" s="4">
        <v>69464.98000000001</v>
      </c>
      <c r="P188" s="4">
        <f t="shared" si="18"/>
        <v>3646.230000000025</v>
      </c>
    </row>
    <row r="189" spans="1:16" x14ac:dyDescent="0.3">
      <c r="A189" s="3"/>
      <c r="B189" s="3"/>
      <c r="C189" s="3"/>
      <c r="D189" s="3"/>
      <c r="E189" s="3" t="s">
        <v>80</v>
      </c>
      <c r="F189" s="3" t="s">
        <v>81</v>
      </c>
      <c r="G189" s="4">
        <v>-4111.46</v>
      </c>
      <c r="H189" s="4">
        <v>-498.12</v>
      </c>
      <c r="I189" s="4">
        <v>3480</v>
      </c>
      <c r="J189" s="4">
        <v>52041.33</v>
      </c>
      <c r="K189" s="4">
        <v>49142.32</v>
      </c>
      <c r="L189" s="4">
        <v>81566.87</v>
      </c>
      <c r="M189" s="4">
        <v>-2899.36</v>
      </c>
      <c r="N189" s="4">
        <v>-4699.62</v>
      </c>
      <c r="O189" s="4">
        <v>0</v>
      </c>
      <c r="P189" s="4">
        <f t="shared" si="18"/>
        <v>4699.62</v>
      </c>
    </row>
    <row r="190" spans="1:16" x14ac:dyDescent="0.3">
      <c r="A190" s="3"/>
      <c r="B190" s="3"/>
      <c r="C190" s="3"/>
      <c r="D190" s="3"/>
      <c r="E190" s="3" t="s">
        <v>110</v>
      </c>
      <c r="F190" s="3" t="s">
        <v>111</v>
      </c>
      <c r="G190" s="4">
        <v>59936.260000000009</v>
      </c>
      <c r="H190" s="4">
        <v>88682.52</v>
      </c>
      <c r="I190" s="4">
        <v>26085</v>
      </c>
      <c r="J190" s="4">
        <v>-3942.63</v>
      </c>
      <c r="K190" s="4">
        <v>14477.5</v>
      </c>
      <c r="L190" s="4">
        <v>-28272.17</v>
      </c>
      <c r="M190" s="4">
        <v>0</v>
      </c>
      <c r="N190" s="4">
        <v>0</v>
      </c>
      <c r="O190" s="4">
        <v>58048.5</v>
      </c>
      <c r="P190" s="4">
        <f t="shared" si="18"/>
        <v>58048.5</v>
      </c>
    </row>
    <row r="191" spans="1:16" x14ac:dyDescent="0.3">
      <c r="A191" s="3"/>
      <c r="B191" s="3"/>
      <c r="C191" s="3"/>
      <c r="D191" s="3"/>
      <c r="E191" s="3" t="s">
        <v>82</v>
      </c>
      <c r="F191" s="3" t="s">
        <v>83</v>
      </c>
      <c r="G191" s="4">
        <v>0</v>
      </c>
      <c r="H191" s="4">
        <v>0</v>
      </c>
      <c r="I191" s="4">
        <v>430000</v>
      </c>
      <c r="J191" s="4">
        <v>266000</v>
      </c>
      <c r="K191" s="4">
        <v>10479.450000000001</v>
      </c>
      <c r="L191" s="4">
        <v>0</v>
      </c>
      <c r="M191" s="4">
        <v>0</v>
      </c>
      <c r="N191" s="4">
        <v>0</v>
      </c>
      <c r="O191" s="4">
        <v>0</v>
      </c>
      <c r="P191" s="4">
        <f t="shared" si="18"/>
        <v>0</v>
      </c>
    </row>
    <row r="192" spans="1:16" x14ac:dyDescent="0.3">
      <c r="A192" s="3"/>
      <c r="B192" s="3"/>
      <c r="C192" s="3"/>
      <c r="D192" s="3"/>
      <c r="E192" s="3" t="s">
        <v>263</v>
      </c>
      <c r="F192" s="3" t="s">
        <v>264</v>
      </c>
      <c r="G192" s="4">
        <v>788.28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f t="shared" si="18"/>
        <v>0</v>
      </c>
    </row>
    <row r="193" spans="1:16" x14ac:dyDescent="0.3">
      <c r="A193" s="3"/>
      <c r="B193" s="3"/>
      <c r="C193" s="3"/>
      <c r="D193" s="3"/>
      <c r="E193" s="3" t="s">
        <v>265</v>
      </c>
      <c r="F193" s="3" t="s">
        <v>266</v>
      </c>
      <c r="G193" s="4">
        <v>0</v>
      </c>
      <c r="H193" s="4">
        <v>0</v>
      </c>
      <c r="I193" s="4">
        <v>0</v>
      </c>
      <c r="J193" s="4">
        <v>0</v>
      </c>
      <c r="K193" s="4">
        <v>-4618.08</v>
      </c>
      <c r="L193" s="4">
        <v>0</v>
      </c>
      <c r="M193" s="4">
        <v>0</v>
      </c>
      <c r="N193" s="4">
        <v>0</v>
      </c>
      <c r="O193" s="4">
        <v>0</v>
      </c>
      <c r="P193" s="4">
        <f t="shared" si="18"/>
        <v>0</v>
      </c>
    </row>
    <row r="194" spans="1:16" x14ac:dyDescent="0.3">
      <c r="A194" s="3"/>
      <c r="B194" s="3"/>
      <c r="C194" s="3"/>
      <c r="D194" s="3"/>
      <c r="E194" s="3" t="s">
        <v>267</v>
      </c>
      <c r="F194" s="3" t="s">
        <v>268</v>
      </c>
      <c r="G194" s="4">
        <v>0</v>
      </c>
      <c r="H194" s="4">
        <v>0</v>
      </c>
      <c r="I194" s="4">
        <v>0</v>
      </c>
      <c r="J194" s="4">
        <v>135000</v>
      </c>
      <c r="K194" s="4">
        <v>600000</v>
      </c>
      <c r="L194" s="4">
        <v>397260.4</v>
      </c>
      <c r="M194" s="4">
        <v>0</v>
      </c>
      <c r="N194" s="4">
        <v>0</v>
      </c>
      <c r="O194" s="4">
        <v>0</v>
      </c>
      <c r="P194" s="4">
        <f t="shared" si="18"/>
        <v>0</v>
      </c>
    </row>
    <row r="195" spans="1:16" x14ac:dyDescent="0.3">
      <c r="A195" s="3"/>
      <c r="B195" s="3"/>
      <c r="C195" s="3" t="s">
        <v>269</v>
      </c>
      <c r="D195" s="3" t="s">
        <v>270</v>
      </c>
      <c r="E195" s="3" t="s">
        <v>262</v>
      </c>
      <c r="F195" s="3" t="s">
        <v>81</v>
      </c>
      <c r="G195" s="4">
        <v>41061.599999999999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f t="shared" si="18"/>
        <v>0</v>
      </c>
    </row>
    <row r="196" spans="1:16" x14ac:dyDescent="0.3">
      <c r="A196" s="3"/>
      <c r="B196" s="3"/>
      <c r="C196" s="3" t="s">
        <v>271</v>
      </c>
      <c r="D196" s="3" t="s">
        <v>272</v>
      </c>
      <c r="E196" s="3" t="s">
        <v>273</v>
      </c>
      <c r="F196" s="3" t="s">
        <v>274</v>
      </c>
      <c r="G196" s="4">
        <v>0</v>
      </c>
      <c r="H196" s="4">
        <v>28712.560000000001</v>
      </c>
      <c r="I196" s="4">
        <v>22301.47</v>
      </c>
      <c r="J196" s="4">
        <v>42887.88</v>
      </c>
      <c r="K196" s="4">
        <v>24772.62</v>
      </c>
      <c r="L196" s="4">
        <v>9940.18</v>
      </c>
      <c r="M196" s="4">
        <v>229055.27000000002</v>
      </c>
      <c r="N196" s="4">
        <v>0</v>
      </c>
      <c r="O196" s="4">
        <v>0</v>
      </c>
      <c r="P196" s="4">
        <f t="shared" si="18"/>
        <v>0</v>
      </c>
    </row>
    <row r="197" spans="1:16" x14ac:dyDescent="0.3">
      <c r="A197" s="3"/>
      <c r="B197" s="3"/>
      <c r="C197" s="3" t="s">
        <v>275</v>
      </c>
      <c r="D197" s="3" t="s">
        <v>276</v>
      </c>
      <c r="E197" s="3" t="s">
        <v>120</v>
      </c>
      <c r="F197" s="3" t="s">
        <v>121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70811</v>
      </c>
      <c r="N197" s="4">
        <v>10479.83</v>
      </c>
      <c r="O197" s="4">
        <v>-1966.4599999999991</v>
      </c>
      <c r="P197" s="4">
        <f t="shared" si="18"/>
        <v>-12446.289999999999</v>
      </c>
    </row>
    <row r="198" spans="1:16" x14ac:dyDescent="0.3">
      <c r="A198" s="3"/>
      <c r="B198" s="5" t="s">
        <v>277</v>
      </c>
      <c r="C198" s="5"/>
      <c r="D198" s="5"/>
      <c r="E198" s="5"/>
      <c r="F198" s="5"/>
      <c r="G198" s="6">
        <f>SUM(G180:G197)</f>
        <v>1668616.3200000012</v>
      </c>
      <c r="H198" s="6">
        <f t="shared" ref="H198:O198" si="19">SUM(H180:H197)</f>
        <v>1486624.8100000024</v>
      </c>
      <c r="I198" s="6">
        <f t="shared" si="19"/>
        <v>1831991.6100000008</v>
      </c>
      <c r="J198" s="6">
        <f t="shared" si="19"/>
        <v>1839339.4100000001</v>
      </c>
      <c r="K198" s="6">
        <f t="shared" si="19"/>
        <v>2218076.7200000011</v>
      </c>
      <c r="L198" s="6">
        <f t="shared" si="19"/>
        <v>2103792.8199999998</v>
      </c>
      <c r="M198" s="6">
        <f t="shared" si="19"/>
        <v>462315.35000000003</v>
      </c>
      <c r="N198" s="6">
        <f t="shared" si="19"/>
        <v>40282.739999999983</v>
      </c>
      <c r="O198" s="6">
        <f t="shared" si="19"/>
        <v>125547.02000000002</v>
      </c>
      <c r="P198" s="6">
        <f t="shared" si="18"/>
        <v>85264.280000000028</v>
      </c>
    </row>
    <row r="199" spans="1:16" x14ac:dyDescent="0.3">
      <c r="A199" s="3"/>
      <c r="B199" s="3" t="s">
        <v>278</v>
      </c>
      <c r="C199" s="3" t="s">
        <v>279</v>
      </c>
      <c r="D199" s="3" t="s">
        <v>280</v>
      </c>
      <c r="E199" s="3" t="s">
        <v>114</v>
      </c>
      <c r="F199" s="3" t="s">
        <v>115</v>
      </c>
      <c r="G199" s="4">
        <v>44110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f t="shared" si="18"/>
        <v>0</v>
      </c>
    </row>
    <row r="200" spans="1:16" x14ac:dyDescent="0.3">
      <c r="A200" s="3"/>
      <c r="B200" s="3"/>
      <c r="C200" s="3"/>
      <c r="D200" s="3"/>
      <c r="E200" s="3" t="s">
        <v>281</v>
      </c>
      <c r="F200" s="3" t="s">
        <v>282</v>
      </c>
      <c r="G200" s="4">
        <v>113820.91</v>
      </c>
      <c r="H200" s="4">
        <v>-11006.32</v>
      </c>
      <c r="I200" s="4">
        <v>0</v>
      </c>
      <c r="J200" s="4">
        <v>0</v>
      </c>
      <c r="K200" s="4">
        <v>0</v>
      </c>
      <c r="L200" s="4">
        <v>-25652</v>
      </c>
      <c r="M200" s="4">
        <v>0</v>
      </c>
      <c r="N200" s="4">
        <v>0</v>
      </c>
      <c r="O200" s="4">
        <v>0</v>
      </c>
      <c r="P200" s="4">
        <f t="shared" si="18"/>
        <v>0</v>
      </c>
    </row>
    <row r="201" spans="1:16" x14ac:dyDescent="0.3">
      <c r="A201" s="3"/>
      <c r="B201" s="3"/>
      <c r="C201" s="3"/>
      <c r="D201" s="3"/>
      <c r="E201" s="3" t="s">
        <v>283</v>
      </c>
      <c r="F201" s="3" t="s">
        <v>284</v>
      </c>
      <c r="G201" s="4">
        <v>20262</v>
      </c>
      <c r="H201" s="4">
        <v>0</v>
      </c>
      <c r="I201" s="4">
        <v>20262</v>
      </c>
      <c r="J201" s="4">
        <v>20262</v>
      </c>
      <c r="K201" s="4">
        <v>20262</v>
      </c>
      <c r="L201" s="4">
        <v>17814.919999999998</v>
      </c>
      <c r="M201" s="4">
        <v>0</v>
      </c>
      <c r="N201" s="4">
        <v>141570</v>
      </c>
      <c r="O201" s="4">
        <v>0</v>
      </c>
      <c r="P201" s="4">
        <f t="shared" si="18"/>
        <v>-141570</v>
      </c>
    </row>
    <row r="202" spans="1:16" x14ac:dyDescent="0.3">
      <c r="A202" s="3"/>
      <c r="B202" s="3"/>
      <c r="C202" s="3" t="s">
        <v>285</v>
      </c>
      <c r="D202" s="3" t="s">
        <v>149</v>
      </c>
      <c r="E202" s="3" t="s">
        <v>120</v>
      </c>
      <c r="F202" s="3" t="s">
        <v>121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11920.06</v>
      </c>
      <c r="M202" s="4">
        <v>2089.37</v>
      </c>
      <c r="N202" s="4">
        <v>0</v>
      </c>
      <c r="O202" s="4">
        <v>0</v>
      </c>
      <c r="P202" s="4">
        <f t="shared" si="18"/>
        <v>0</v>
      </c>
    </row>
    <row r="203" spans="1:16" x14ac:dyDescent="0.3">
      <c r="A203" s="3"/>
      <c r="B203" s="3"/>
      <c r="C203" s="3" t="s">
        <v>286</v>
      </c>
      <c r="D203" s="3" t="s">
        <v>287</v>
      </c>
      <c r="E203" s="3" t="s">
        <v>288</v>
      </c>
      <c r="F203" s="3" t="s">
        <v>289</v>
      </c>
      <c r="G203" s="4">
        <v>0</v>
      </c>
      <c r="H203" s="4">
        <v>2080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f t="shared" si="18"/>
        <v>0</v>
      </c>
    </row>
    <row r="204" spans="1:16" x14ac:dyDescent="0.3">
      <c r="A204" s="3"/>
      <c r="B204" s="3"/>
      <c r="C204" s="3"/>
      <c r="D204" s="3"/>
      <c r="E204" s="3" t="s">
        <v>120</v>
      </c>
      <c r="F204" s="3" t="s">
        <v>121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121381.82</v>
      </c>
      <c r="O204" s="4">
        <v>0</v>
      </c>
      <c r="P204" s="4">
        <f t="shared" si="18"/>
        <v>-121381.82</v>
      </c>
    </row>
    <row r="205" spans="1:16" x14ac:dyDescent="0.3">
      <c r="A205" s="3"/>
      <c r="B205" s="3"/>
      <c r="C205" s="3" t="s">
        <v>290</v>
      </c>
      <c r="D205" s="3" t="s">
        <v>291</v>
      </c>
      <c r="E205" s="3" t="s">
        <v>108</v>
      </c>
      <c r="F205" s="3" t="s">
        <v>109</v>
      </c>
      <c r="G205" s="4">
        <v>0</v>
      </c>
      <c r="H205" s="4">
        <v>-17271.46</v>
      </c>
      <c r="I205" s="4">
        <v>0</v>
      </c>
      <c r="J205" s="4">
        <v>-139.6</v>
      </c>
      <c r="K205" s="4">
        <v>565519.17999999993</v>
      </c>
      <c r="L205" s="4">
        <v>4500</v>
      </c>
      <c r="M205" s="4">
        <v>0</v>
      </c>
      <c r="N205" s="4">
        <v>0</v>
      </c>
      <c r="O205" s="4">
        <v>0</v>
      </c>
      <c r="P205" s="4">
        <f t="shared" si="18"/>
        <v>0</v>
      </c>
    </row>
    <row r="206" spans="1:16" x14ac:dyDescent="0.3">
      <c r="A206" s="3"/>
      <c r="B206" s="3"/>
      <c r="C206" s="3"/>
      <c r="D206" s="3"/>
      <c r="E206" s="3" t="s">
        <v>82</v>
      </c>
      <c r="F206" s="3" t="s">
        <v>83</v>
      </c>
      <c r="G206" s="4">
        <v>0</v>
      </c>
      <c r="H206" s="4">
        <v>0</v>
      </c>
      <c r="I206" s="4">
        <v>-6330.84</v>
      </c>
      <c r="J206" s="4">
        <v>0</v>
      </c>
      <c r="K206" s="4">
        <v>0</v>
      </c>
      <c r="L206" s="4">
        <v>0</v>
      </c>
      <c r="M206" s="4">
        <v>0</v>
      </c>
      <c r="N206" s="4">
        <v>-1535.38</v>
      </c>
      <c r="O206" s="4">
        <v>0</v>
      </c>
      <c r="P206" s="4">
        <f t="shared" si="18"/>
        <v>1535.38</v>
      </c>
    </row>
    <row r="207" spans="1:16" x14ac:dyDescent="0.3">
      <c r="A207" s="3"/>
      <c r="B207" s="3"/>
      <c r="C207" s="3"/>
      <c r="D207" s="3"/>
      <c r="E207" s="3" t="s">
        <v>263</v>
      </c>
      <c r="F207" s="3" t="s">
        <v>264</v>
      </c>
      <c r="G207" s="4">
        <v>51500</v>
      </c>
      <c r="H207" s="4">
        <v>38500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f t="shared" si="18"/>
        <v>0</v>
      </c>
    </row>
    <row r="208" spans="1:16" x14ac:dyDescent="0.3">
      <c r="A208" s="3"/>
      <c r="B208" s="3"/>
      <c r="C208" s="3"/>
      <c r="D208" s="3"/>
      <c r="E208" s="3" t="s">
        <v>84</v>
      </c>
      <c r="F208" s="3" t="s">
        <v>85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599950</v>
      </c>
      <c r="N208" s="4">
        <v>0</v>
      </c>
      <c r="O208" s="4">
        <v>0</v>
      </c>
      <c r="P208" s="4">
        <f t="shared" si="18"/>
        <v>0</v>
      </c>
    </row>
    <row r="209" spans="1:16" x14ac:dyDescent="0.3">
      <c r="A209" s="3"/>
      <c r="B209" s="3"/>
      <c r="C209" s="3"/>
      <c r="D209" s="3"/>
      <c r="E209" s="3" t="s">
        <v>267</v>
      </c>
      <c r="F209" s="3" t="s">
        <v>268</v>
      </c>
      <c r="G209" s="4">
        <v>65789.34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f t="shared" si="18"/>
        <v>0</v>
      </c>
    </row>
    <row r="210" spans="1:16" x14ac:dyDescent="0.3">
      <c r="A210" s="3"/>
      <c r="B210" s="3"/>
      <c r="C210" s="3"/>
      <c r="D210" s="3"/>
      <c r="E210" s="3" t="s">
        <v>86</v>
      </c>
      <c r="F210" s="3" t="s">
        <v>87</v>
      </c>
      <c r="G210" s="4">
        <v>5793809.8099999987</v>
      </c>
      <c r="H210" s="4">
        <v>4453476.82</v>
      </c>
      <c r="I210" s="4">
        <v>4334777.8099999987</v>
      </c>
      <c r="J210" s="4">
        <v>6149970.1499999994</v>
      </c>
      <c r="K210" s="4">
        <v>5960009.2699999996</v>
      </c>
      <c r="L210" s="4">
        <v>5297323.709999999</v>
      </c>
      <c r="M210" s="4">
        <v>3980.5400000000009</v>
      </c>
      <c r="N210" s="4">
        <v>1744983.48</v>
      </c>
      <c r="O210" s="4">
        <v>2631474.4799999986</v>
      </c>
      <c r="P210" s="4">
        <f t="shared" si="18"/>
        <v>886490.9999999986</v>
      </c>
    </row>
    <row r="211" spans="1:16" x14ac:dyDescent="0.3">
      <c r="A211" s="3"/>
      <c r="B211" s="3"/>
      <c r="C211" s="3"/>
      <c r="D211" s="3"/>
      <c r="E211" s="3" t="s">
        <v>52</v>
      </c>
      <c r="F211" s="3" t="s">
        <v>53</v>
      </c>
      <c r="G211" s="4">
        <v>0</v>
      </c>
      <c r="H211" s="4">
        <v>0</v>
      </c>
      <c r="I211" s="4">
        <v>29357.129999999997</v>
      </c>
      <c r="J211" s="4">
        <v>191119.05</v>
      </c>
      <c r="K211" s="4">
        <v>123165</v>
      </c>
      <c r="L211" s="4">
        <v>0</v>
      </c>
      <c r="M211" s="4">
        <v>0</v>
      </c>
      <c r="N211" s="4">
        <v>1183.4000000000001</v>
      </c>
      <c r="O211" s="4">
        <v>-17502.850000000002</v>
      </c>
      <c r="P211" s="4">
        <f t="shared" si="18"/>
        <v>-18686.250000000004</v>
      </c>
    </row>
    <row r="212" spans="1:16" x14ac:dyDescent="0.3">
      <c r="A212" s="3"/>
      <c r="B212" s="3"/>
      <c r="C212" s="3"/>
      <c r="D212" s="3"/>
      <c r="E212" s="3" t="s">
        <v>146</v>
      </c>
      <c r="F212" s="3" t="s">
        <v>147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676295</v>
      </c>
      <c r="N212" s="4">
        <v>0</v>
      </c>
      <c r="O212" s="4">
        <v>0</v>
      </c>
      <c r="P212" s="4">
        <f t="shared" si="18"/>
        <v>0</v>
      </c>
    </row>
    <row r="213" spans="1:16" x14ac:dyDescent="0.3">
      <c r="A213" s="3"/>
      <c r="B213" s="3"/>
      <c r="C213" s="3"/>
      <c r="D213" s="3"/>
      <c r="E213" s="3" t="s">
        <v>120</v>
      </c>
      <c r="F213" s="3" t="s">
        <v>121</v>
      </c>
      <c r="G213" s="4">
        <v>303054.35000000003</v>
      </c>
      <c r="H213" s="4">
        <v>354699.07999999996</v>
      </c>
      <c r="I213" s="4">
        <v>240850.11000000002</v>
      </c>
      <c r="J213" s="4">
        <v>568385.02</v>
      </c>
      <c r="K213" s="4">
        <v>335676.41000000003</v>
      </c>
      <c r="L213" s="4">
        <v>1492371.54</v>
      </c>
      <c r="M213" s="4">
        <v>-18257.97</v>
      </c>
      <c r="N213" s="4">
        <v>-12991.04</v>
      </c>
      <c r="O213" s="4">
        <v>519145.76999999996</v>
      </c>
      <c r="P213" s="4">
        <f t="shared" si="18"/>
        <v>532136.80999999994</v>
      </c>
    </row>
    <row r="214" spans="1:16" x14ac:dyDescent="0.3">
      <c r="A214" s="3"/>
      <c r="B214" s="3"/>
      <c r="C214" s="3"/>
      <c r="D214" s="3"/>
      <c r="E214" s="3" t="s">
        <v>293</v>
      </c>
      <c r="F214" s="3" t="s">
        <v>294</v>
      </c>
      <c r="G214" s="4">
        <v>500000</v>
      </c>
      <c r="H214" s="4">
        <v>500000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569400</v>
      </c>
      <c r="P214" s="4">
        <f t="shared" si="18"/>
        <v>569400</v>
      </c>
    </row>
    <row r="215" spans="1:16" x14ac:dyDescent="0.3">
      <c r="A215" s="3"/>
      <c r="B215" s="3"/>
      <c r="C215" s="3"/>
      <c r="D215" s="3"/>
      <c r="E215" s="3" t="s">
        <v>295</v>
      </c>
      <c r="F215" s="3" t="s">
        <v>296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68000</v>
      </c>
      <c r="P215" s="4">
        <f t="shared" si="18"/>
        <v>68000</v>
      </c>
    </row>
    <row r="216" spans="1:16" x14ac:dyDescent="0.3">
      <c r="A216" s="3"/>
      <c r="B216" s="3"/>
      <c r="C216" s="3" t="s">
        <v>297</v>
      </c>
      <c r="D216" s="3" t="s">
        <v>298</v>
      </c>
      <c r="E216" s="3" t="s">
        <v>108</v>
      </c>
      <c r="F216" s="3" t="s">
        <v>109</v>
      </c>
      <c r="G216" s="4">
        <v>61179.17</v>
      </c>
      <c r="H216" s="4">
        <v>164078.86000000002</v>
      </c>
      <c r="I216" s="4">
        <v>529628.55999999994</v>
      </c>
      <c r="J216" s="4">
        <v>1401887.42</v>
      </c>
      <c r="K216" s="4">
        <v>1422966.84</v>
      </c>
      <c r="L216" s="4">
        <v>2561312.89</v>
      </c>
      <c r="M216" s="4">
        <v>1203482</v>
      </c>
      <c r="N216" s="4">
        <v>1192478.58</v>
      </c>
      <c r="O216" s="4">
        <v>1210968.4900000002</v>
      </c>
      <c r="P216" s="4">
        <f t="shared" si="18"/>
        <v>18489.910000000149</v>
      </c>
    </row>
    <row r="217" spans="1:16" x14ac:dyDescent="0.3">
      <c r="A217" s="3"/>
      <c r="B217" s="3"/>
      <c r="C217" s="3"/>
      <c r="D217" s="3"/>
      <c r="E217" s="3" t="s">
        <v>292</v>
      </c>
      <c r="F217" s="3" t="s">
        <v>109</v>
      </c>
      <c r="G217" s="4">
        <v>-799.31999999999994</v>
      </c>
      <c r="H217" s="4">
        <v>1321.31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f t="shared" si="18"/>
        <v>0</v>
      </c>
    </row>
    <row r="218" spans="1:16" x14ac:dyDescent="0.3">
      <c r="A218" s="3"/>
      <c r="B218" s="3"/>
      <c r="C218" s="3"/>
      <c r="D218" s="3"/>
      <c r="E218" s="3" t="s">
        <v>82</v>
      </c>
      <c r="F218" s="3" t="s">
        <v>83</v>
      </c>
      <c r="G218" s="4">
        <v>180000</v>
      </c>
      <c r="H218" s="4">
        <v>453265.51999999996</v>
      </c>
      <c r="I218" s="4">
        <v>0</v>
      </c>
      <c r="J218" s="4">
        <v>342033.00000000006</v>
      </c>
      <c r="K218" s="4">
        <v>434189.5</v>
      </c>
      <c r="L218" s="4">
        <v>373220.9</v>
      </c>
      <c r="M218" s="4">
        <v>306669.94</v>
      </c>
      <c r="N218" s="4">
        <v>6094.89</v>
      </c>
      <c r="O218" s="4">
        <v>406894.31</v>
      </c>
      <c r="P218" s="4">
        <f t="shared" si="18"/>
        <v>400799.42</v>
      </c>
    </row>
    <row r="219" spans="1:16" x14ac:dyDescent="0.3">
      <c r="A219" s="3"/>
      <c r="B219" s="3"/>
      <c r="C219" s="3"/>
      <c r="D219" s="3"/>
      <c r="E219" s="3" t="s">
        <v>263</v>
      </c>
      <c r="F219" s="3" t="s">
        <v>264</v>
      </c>
      <c r="G219" s="4">
        <v>13000</v>
      </c>
      <c r="H219" s="4">
        <v>13000</v>
      </c>
      <c r="I219" s="4">
        <v>13000</v>
      </c>
      <c r="J219" s="4">
        <v>39000</v>
      </c>
      <c r="K219" s="4">
        <v>26000</v>
      </c>
      <c r="L219" s="4">
        <v>12000</v>
      </c>
      <c r="M219" s="4">
        <v>0</v>
      </c>
      <c r="N219" s="4">
        <v>0</v>
      </c>
      <c r="O219" s="4">
        <v>0</v>
      </c>
      <c r="P219" s="4">
        <f t="shared" si="18"/>
        <v>0</v>
      </c>
    </row>
    <row r="220" spans="1:16" x14ac:dyDescent="0.3">
      <c r="A220" s="3"/>
      <c r="B220" s="3"/>
      <c r="C220" s="3"/>
      <c r="D220" s="3"/>
      <c r="E220" s="3" t="s">
        <v>84</v>
      </c>
      <c r="F220" s="3" t="s">
        <v>85</v>
      </c>
      <c r="G220" s="4">
        <v>773240</v>
      </c>
      <c r="H220" s="4">
        <v>349760</v>
      </c>
      <c r="I220" s="4">
        <v>430920</v>
      </c>
      <c r="J220" s="4">
        <v>583980</v>
      </c>
      <c r="K220" s="4">
        <v>1064907.73</v>
      </c>
      <c r="L220" s="4">
        <v>365109.24</v>
      </c>
      <c r="M220" s="4">
        <v>168600</v>
      </c>
      <c r="N220" s="4">
        <v>219514.33</v>
      </c>
      <c r="O220" s="4">
        <v>-116951.68999999999</v>
      </c>
      <c r="P220" s="4">
        <f t="shared" si="18"/>
        <v>-336466.01999999996</v>
      </c>
    </row>
    <row r="221" spans="1:16" x14ac:dyDescent="0.3">
      <c r="A221" s="3"/>
      <c r="B221" s="3"/>
      <c r="C221" s="3"/>
      <c r="D221" s="3"/>
      <c r="E221" s="3" t="s">
        <v>267</v>
      </c>
      <c r="F221" s="3" t="s">
        <v>268</v>
      </c>
      <c r="G221" s="4">
        <v>0</v>
      </c>
      <c r="H221" s="4">
        <v>0</v>
      </c>
      <c r="I221" s="4">
        <v>0</v>
      </c>
      <c r="J221" s="4">
        <v>133333.32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f t="shared" si="18"/>
        <v>0</v>
      </c>
    </row>
    <row r="222" spans="1:16" x14ac:dyDescent="0.3">
      <c r="A222" s="3"/>
      <c r="B222" s="3"/>
      <c r="C222" s="3"/>
      <c r="D222" s="3"/>
      <c r="E222" s="3" t="s">
        <v>86</v>
      </c>
      <c r="F222" s="3" t="s">
        <v>87</v>
      </c>
      <c r="G222" s="4">
        <v>0</v>
      </c>
      <c r="H222" s="4">
        <v>0</v>
      </c>
      <c r="I222" s="4">
        <v>-16022.5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f t="shared" si="18"/>
        <v>0</v>
      </c>
    </row>
    <row r="223" spans="1:16" x14ac:dyDescent="0.3">
      <c r="A223" s="3"/>
      <c r="B223" s="5" t="s">
        <v>299</v>
      </c>
      <c r="C223" s="5"/>
      <c r="D223" s="5"/>
      <c r="E223" s="5"/>
      <c r="F223" s="5"/>
      <c r="G223" s="6">
        <f t="shared" ref="G223:O223" si="20">SUM(G199:G222)</f>
        <v>7918966.2599999979</v>
      </c>
      <c r="H223" s="6">
        <f t="shared" si="20"/>
        <v>6301903.8099999996</v>
      </c>
      <c r="I223" s="6">
        <f t="shared" si="20"/>
        <v>5576442.2699999986</v>
      </c>
      <c r="J223" s="6">
        <f t="shared" si="20"/>
        <v>9429830.3599999994</v>
      </c>
      <c r="K223" s="6">
        <f t="shared" si="20"/>
        <v>9952695.9299999997</v>
      </c>
      <c r="L223" s="6">
        <f t="shared" si="20"/>
        <v>10109921.26</v>
      </c>
      <c r="M223" s="6">
        <f t="shared" si="20"/>
        <v>2942808.8800000004</v>
      </c>
      <c r="N223" s="6">
        <f t="shared" si="20"/>
        <v>3412680.08</v>
      </c>
      <c r="O223" s="6">
        <f t="shared" si="20"/>
        <v>5271428.5099999979</v>
      </c>
      <c r="P223" s="6">
        <f t="shared" si="18"/>
        <v>1858748.4299999978</v>
      </c>
    </row>
    <row r="224" spans="1:16" x14ac:dyDescent="0.3">
      <c r="A224" s="3"/>
      <c r="B224" s="3" t="s">
        <v>300</v>
      </c>
      <c r="C224" s="3" t="s">
        <v>301</v>
      </c>
      <c r="D224" s="3" t="s">
        <v>302</v>
      </c>
      <c r="E224" s="3" t="s">
        <v>120</v>
      </c>
      <c r="F224" s="3" t="s">
        <v>121</v>
      </c>
      <c r="G224" s="4">
        <v>0</v>
      </c>
      <c r="H224" s="4">
        <v>0</v>
      </c>
      <c r="I224" s="4">
        <v>9000</v>
      </c>
      <c r="J224" s="4">
        <v>-12000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f t="shared" si="18"/>
        <v>0</v>
      </c>
    </row>
    <row r="225" spans="1:16" x14ac:dyDescent="0.3">
      <c r="A225" s="3"/>
      <c r="B225" s="3"/>
      <c r="C225" s="3" t="s">
        <v>303</v>
      </c>
      <c r="D225" s="3" t="s">
        <v>304</v>
      </c>
      <c r="E225" s="3" t="s">
        <v>273</v>
      </c>
      <c r="F225" s="3" t="s">
        <v>274</v>
      </c>
      <c r="G225" s="4">
        <v>29942.46</v>
      </c>
      <c r="H225" s="4">
        <v>0</v>
      </c>
      <c r="I225" s="4">
        <v>104329.34</v>
      </c>
      <c r="J225" s="4">
        <v>0</v>
      </c>
      <c r="K225" s="4">
        <v>0</v>
      </c>
      <c r="L225" s="4">
        <v>0</v>
      </c>
      <c r="M225" s="4">
        <v>163459.46000000002</v>
      </c>
      <c r="N225" s="4">
        <v>0</v>
      </c>
      <c r="O225" s="4">
        <v>0</v>
      </c>
      <c r="P225" s="4">
        <f t="shared" si="18"/>
        <v>0</v>
      </c>
    </row>
    <row r="226" spans="1:16" x14ac:dyDescent="0.3">
      <c r="A226" s="3"/>
      <c r="B226" s="3"/>
      <c r="C226" s="3" t="s">
        <v>305</v>
      </c>
      <c r="D226" s="3" t="s">
        <v>306</v>
      </c>
      <c r="E226" s="3" t="s">
        <v>120</v>
      </c>
      <c r="F226" s="3" t="s">
        <v>121</v>
      </c>
      <c r="G226" s="4">
        <v>0</v>
      </c>
      <c r="H226" s="4">
        <v>8900</v>
      </c>
      <c r="I226" s="4">
        <v>-19491.580000000002</v>
      </c>
      <c r="J226" s="4">
        <v>0</v>
      </c>
      <c r="K226" s="4">
        <v>911.43</v>
      </c>
      <c r="L226" s="4">
        <v>0</v>
      </c>
      <c r="M226" s="4">
        <v>0</v>
      </c>
      <c r="N226" s="4">
        <v>0</v>
      </c>
      <c r="O226" s="4">
        <v>0</v>
      </c>
      <c r="P226" s="4">
        <f t="shared" si="18"/>
        <v>0</v>
      </c>
    </row>
    <row r="227" spans="1:16" x14ac:dyDescent="0.3">
      <c r="A227" s="3"/>
      <c r="B227" s="3"/>
      <c r="C227" s="3" t="s">
        <v>307</v>
      </c>
      <c r="D227" s="3" t="s">
        <v>308</v>
      </c>
      <c r="E227" s="3" t="s">
        <v>309</v>
      </c>
      <c r="F227" s="3" t="s">
        <v>310</v>
      </c>
      <c r="G227" s="4">
        <v>0</v>
      </c>
      <c r="H227" s="4">
        <v>86556.76999999999</v>
      </c>
      <c r="I227" s="4">
        <v>86556.76999999999</v>
      </c>
      <c r="J227" s="4">
        <v>86556.76999999999</v>
      </c>
      <c r="K227" s="4">
        <v>86556.76999999999</v>
      </c>
      <c r="L227" s="4">
        <v>36353.759999999995</v>
      </c>
      <c r="M227" s="4">
        <v>19520.669999999998</v>
      </c>
      <c r="N227" s="4">
        <v>0</v>
      </c>
      <c r="O227" s="4">
        <v>-5536.72</v>
      </c>
      <c r="P227" s="4">
        <f t="shared" si="18"/>
        <v>-5536.72</v>
      </c>
    </row>
    <row r="228" spans="1:16" x14ac:dyDescent="0.3">
      <c r="A228" s="3"/>
      <c r="B228" s="3"/>
      <c r="C228" s="3"/>
      <c r="D228" s="3"/>
      <c r="E228" s="3" t="s">
        <v>172</v>
      </c>
      <c r="F228" s="3" t="s">
        <v>173</v>
      </c>
      <c r="G228" s="4">
        <v>0</v>
      </c>
      <c r="H228" s="4">
        <v>0</v>
      </c>
      <c r="I228" s="4">
        <v>0</v>
      </c>
      <c r="J228" s="4">
        <v>0</v>
      </c>
      <c r="K228" s="4">
        <v>1247.67</v>
      </c>
      <c r="L228" s="4">
        <v>0</v>
      </c>
      <c r="M228" s="4">
        <v>0</v>
      </c>
      <c r="N228" s="4">
        <v>0</v>
      </c>
      <c r="O228" s="4">
        <v>0</v>
      </c>
      <c r="P228" s="4">
        <f t="shared" si="18"/>
        <v>0</v>
      </c>
    </row>
    <row r="229" spans="1:16" x14ac:dyDescent="0.3">
      <c r="A229" s="3"/>
      <c r="B229" s="3"/>
      <c r="C229" s="3"/>
      <c r="D229" s="3"/>
      <c r="E229" s="3" t="s">
        <v>134</v>
      </c>
      <c r="F229" s="3" t="s">
        <v>135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15717.19</v>
      </c>
      <c r="P229" s="4">
        <f t="shared" si="18"/>
        <v>15717.19</v>
      </c>
    </row>
    <row r="230" spans="1:16" x14ac:dyDescent="0.3">
      <c r="A230" s="3"/>
      <c r="B230" s="3"/>
      <c r="C230" s="3"/>
      <c r="D230" s="3"/>
      <c r="E230" s="3" t="s">
        <v>120</v>
      </c>
      <c r="F230" s="3" t="s">
        <v>121</v>
      </c>
      <c r="G230" s="4">
        <v>0</v>
      </c>
      <c r="H230" s="4">
        <v>12000</v>
      </c>
      <c r="I230" s="4">
        <v>20083.7</v>
      </c>
      <c r="J230" s="4">
        <v>13.23</v>
      </c>
      <c r="K230" s="4">
        <v>0</v>
      </c>
      <c r="L230" s="4">
        <v>0</v>
      </c>
      <c r="M230" s="4">
        <v>0</v>
      </c>
      <c r="N230" s="4">
        <v>0</v>
      </c>
      <c r="O230" s="4">
        <v>4434.04</v>
      </c>
      <c r="P230" s="4">
        <f t="shared" si="18"/>
        <v>4434.04</v>
      </c>
    </row>
    <row r="231" spans="1:16" x14ac:dyDescent="0.3">
      <c r="A231" s="3"/>
      <c r="B231" s="3"/>
      <c r="C231" s="3"/>
      <c r="D231" s="3"/>
      <c r="E231" s="3" t="s">
        <v>174</v>
      </c>
      <c r="F231" s="3" t="s">
        <v>175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144715.97999999998</v>
      </c>
      <c r="N231" s="4">
        <v>0</v>
      </c>
      <c r="O231" s="4">
        <v>0</v>
      </c>
      <c r="P231" s="4">
        <f t="shared" si="18"/>
        <v>0</v>
      </c>
    </row>
    <row r="232" spans="1:16" x14ac:dyDescent="0.3">
      <c r="A232" s="3"/>
      <c r="B232" s="3"/>
      <c r="C232" s="3"/>
      <c r="D232" s="3"/>
      <c r="E232" s="3" t="s">
        <v>311</v>
      </c>
      <c r="F232" s="3" t="s">
        <v>312</v>
      </c>
      <c r="G232" s="4">
        <v>0</v>
      </c>
      <c r="H232" s="4">
        <v>0</v>
      </c>
      <c r="I232" s="4">
        <v>0</v>
      </c>
      <c r="J232" s="4">
        <v>0</v>
      </c>
      <c r="K232" s="4">
        <v>205170</v>
      </c>
      <c r="L232" s="4">
        <v>0</v>
      </c>
      <c r="M232" s="4">
        <v>0</v>
      </c>
      <c r="N232" s="4">
        <v>0</v>
      </c>
      <c r="O232" s="4">
        <v>0</v>
      </c>
      <c r="P232" s="4">
        <f t="shared" si="18"/>
        <v>0</v>
      </c>
    </row>
    <row r="233" spans="1:16" x14ac:dyDescent="0.3">
      <c r="A233" s="3"/>
      <c r="B233" s="3"/>
      <c r="C233" s="3" t="s">
        <v>313</v>
      </c>
      <c r="D233" s="3" t="s">
        <v>314</v>
      </c>
      <c r="E233" s="3" t="s">
        <v>108</v>
      </c>
      <c r="F233" s="3" t="s">
        <v>109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7383.81</v>
      </c>
      <c r="N233" s="4">
        <v>0</v>
      </c>
      <c r="O233" s="4">
        <v>0</v>
      </c>
      <c r="P233" s="4">
        <f t="shared" si="18"/>
        <v>0</v>
      </c>
    </row>
    <row r="234" spans="1:16" x14ac:dyDescent="0.3">
      <c r="A234" s="3"/>
      <c r="B234" s="3"/>
      <c r="C234" s="3"/>
      <c r="D234" s="3"/>
      <c r="E234" s="3" t="s">
        <v>273</v>
      </c>
      <c r="F234" s="3" t="s">
        <v>274</v>
      </c>
      <c r="G234" s="4">
        <v>18015.3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f t="shared" si="18"/>
        <v>0</v>
      </c>
    </row>
    <row r="235" spans="1:16" x14ac:dyDescent="0.3">
      <c r="A235" s="3"/>
      <c r="B235" s="3"/>
      <c r="C235" s="3"/>
      <c r="D235" s="3"/>
      <c r="E235" s="3" t="s">
        <v>86</v>
      </c>
      <c r="F235" s="3" t="s">
        <v>87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14410.05</v>
      </c>
      <c r="N235" s="4">
        <v>0</v>
      </c>
      <c r="O235" s="4">
        <v>0</v>
      </c>
      <c r="P235" s="4">
        <f t="shared" si="18"/>
        <v>0</v>
      </c>
    </row>
    <row r="236" spans="1:16" x14ac:dyDescent="0.3">
      <c r="A236" s="3"/>
      <c r="B236" s="3"/>
      <c r="C236" s="3"/>
      <c r="D236" s="3"/>
      <c r="E236" s="3" t="s">
        <v>120</v>
      </c>
      <c r="F236" s="3" t="s">
        <v>121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15059.65</v>
      </c>
      <c r="M236" s="4">
        <v>0</v>
      </c>
      <c r="N236" s="4">
        <v>0</v>
      </c>
      <c r="O236" s="4">
        <v>0</v>
      </c>
      <c r="P236" s="4">
        <f t="shared" si="18"/>
        <v>0</v>
      </c>
    </row>
    <row r="237" spans="1:16" x14ac:dyDescent="0.3">
      <c r="A237" s="3"/>
      <c r="B237" s="3"/>
      <c r="C237" s="3" t="s">
        <v>315</v>
      </c>
      <c r="D237" s="3" t="s">
        <v>316</v>
      </c>
      <c r="E237" s="3" t="s">
        <v>273</v>
      </c>
      <c r="F237" s="3" t="s">
        <v>274</v>
      </c>
      <c r="G237" s="4">
        <v>379406.25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f t="shared" si="18"/>
        <v>0</v>
      </c>
    </row>
    <row r="238" spans="1:16" x14ac:dyDescent="0.3">
      <c r="A238" s="3"/>
      <c r="B238" s="3"/>
      <c r="C238" s="3"/>
      <c r="D238" s="3"/>
      <c r="E238" s="3" t="s">
        <v>84</v>
      </c>
      <c r="F238" s="3" t="s">
        <v>85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11240</v>
      </c>
      <c r="O238" s="4">
        <v>0</v>
      </c>
      <c r="P238" s="4">
        <f t="shared" si="18"/>
        <v>-11240</v>
      </c>
    </row>
    <row r="239" spans="1:16" x14ac:dyDescent="0.3">
      <c r="A239" s="3"/>
      <c r="B239" s="3"/>
      <c r="C239" s="3" t="s">
        <v>317</v>
      </c>
      <c r="D239" s="3" t="s">
        <v>318</v>
      </c>
      <c r="E239" s="3" t="s">
        <v>273</v>
      </c>
      <c r="F239" s="3" t="s">
        <v>274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83711.359999999986</v>
      </c>
      <c r="M239" s="4">
        <v>0</v>
      </c>
      <c r="N239" s="4">
        <v>0</v>
      </c>
      <c r="O239" s="4">
        <v>0</v>
      </c>
      <c r="P239" s="4">
        <f t="shared" si="18"/>
        <v>0</v>
      </c>
    </row>
    <row r="240" spans="1:16" x14ac:dyDescent="0.3">
      <c r="A240" s="3"/>
      <c r="B240" s="3"/>
      <c r="C240" s="3" t="s">
        <v>319</v>
      </c>
      <c r="D240" s="3" t="s">
        <v>320</v>
      </c>
      <c r="E240" s="3" t="s">
        <v>84</v>
      </c>
      <c r="F240" s="3" t="s">
        <v>85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-21550</v>
      </c>
      <c r="P240" s="4">
        <f t="shared" si="18"/>
        <v>-21550</v>
      </c>
    </row>
    <row r="241" spans="1:16" x14ac:dyDescent="0.3">
      <c r="A241" s="3"/>
      <c r="B241" s="3"/>
      <c r="C241" s="3"/>
      <c r="D241" s="3"/>
      <c r="E241" s="3" t="s">
        <v>281</v>
      </c>
      <c r="F241" s="3" t="s">
        <v>282</v>
      </c>
      <c r="G241" s="4">
        <v>0</v>
      </c>
      <c r="H241" s="4">
        <v>0</v>
      </c>
      <c r="I241" s="4">
        <v>0</v>
      </c>
      <c r="J241" s="4">
        <v>0</v>
      </c>
      <c r="K241" s="4">
        <v>17780.87</v>
      </c>
      <c r="L241" s="4">
        <v>0</v>
      </c>
      <c r="M241" s="4">
        <v>0</v>
      </c>
      <c r="N241" s="4">
        <v>0</v>
      </c>
      <c r="O241" s="4">
        <v>0</v>
      </c>
      <c r="P241" s="4">
        <f t="shared" si="18"/>
        <v>0</v>
      </c>
    </row>
    <row r="242" spans="1:16" x14ac:dyDescent="0.3">
      <c r="A242" s="3"/>
      <c r="B242" s="3"/>
      <c r="C242" s="3"/>
      <c r="D242" s="3"/>
      <c r="E242" s="3" t="s">
        <v>256</v>
      </c>
      <c r="F242" s="3" t="s">
        <v>257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65986</v>
      </c>
      <c r="M242" s="4">
        <v>0</v>
      </c>
      <c r="N242" s="4">
        <v>0</v>
      </c>
      <c r="O242" s="4">
        <v>0</v>
      </c>
      <c r="P242" s="4">
        <f t="shared" si="18"/>
        <v>0</v>
      </c>
    </row>
    <row r="243" spans="1:16" x14ac:dyDescent="0.3">
      <c r="A243" s="3"/>
      <c r="B243" s="3"/>
      <c r="C243" s="3" t="s">
        <v>321</v>
      </c>
      <c r="D243" s="3" t="s">
        <v>322</v>
      </c>
      <c r="E243" s="3" t="s">
        <v>273</v>
      </c>
      <c r="F243" s="3" t="s">
        <v>274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6232.43</v>
      </c>
      <c r="N243" s="4">
        <v>0</v>
      </c>
      <c r="O243" s="4">
        <v>0</v>
      </c>
      <c r="P243" s="4">
        <f t="shared" ref="P243:P289" si="21">+O243-N243</f>
        <v>0</v>
      </c>
    </row>
    <row r="244" spans="1:16" x14ac:dyDescent="0.3">
      <c r="A244" s="3"/>
      <c r="B244" s="3"/>
      <c r="C244" s="3" t="s">
        <v>323</v>
      </c>
      <c r="D244" s="3" t="s">
        <v>324</v>
      </c>
      <c r="E244" s="3" t="s">
        <v>120</v>
      </c>
      <c r="F244" s="3" t="s">
        <v>121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5372.09</v>
      </c>
      <c r="P244" s="4">
        <f t="shared" si="21"/>
        <v>5372.09</v>
      </c>
    </row>
    <row r="245" spans="1:16" x14ac:dyDescent="0.3">
      <c r="A245" s="3"/>
      <c r="B245" s="5" t="s">
        <v>325</v>
      </c>
      <c r="C245" s="5"/>
      <c r="D245" s="5"/>
      <c r="E245" s="5"/>
      <c r="F245" s="5"/>
      <c r="G245" s="6">
        <f t="shared" ref="G245:O245" si="22">SUM(G224:G244)</f>
        <v>427364.01</v>
      </c>
      <c r="H245" s="6">
        <f t="shared" si="22"/>
        <v>107456.76999999999</v>
      </c>
      <c r="I245" s="6">
        <f t="shared" si="22"/>
        <v>200478.22999999998</v>
      </c>
      <c r="J245" s="6">
        <f t="shared" si="22"/>
        <v>74569.999999999985</v>
      </c>
      <c r="K245" s="6">
        <f t="shared" si="22"/>
        <v>311666.74</v>
      </c>
      <c r="L245" s="6">
        <f t="shared" si="22"/>
        <v>201110.77</v>
      </c>
      <c r="M245" s="6">
        <f t="shared" si="22"/>
        <v>355722.39999999997</v>
      </c>
      <c r="N245" s="6">
        <f t="shared" si="22"/>
        <v>11240</v>
      </c>
      <c r="O245" s="6">
        <f t="shared" si="22"/>
        <v>-1563.3999999999978</v>
      </c>
      <c r="P245" s="6">
        <f t="shared" si="21"/>
        <v>-12803.399999999998</v>
      </c>
    </row>
    <row r="246" spans="1:16" x14ac:dyDescent="0.3">
      <c r="A246" s="3"/>
      <c r="B246" s="3" t="s">
        <v>326</v>
      </c>
      <c r="C246" s="3" t="s">
        <v>327</v>
      </c>
      <c r="D246" s="3" t="s">
        <v>328</v>
      </c>
      <c r="E246" s="3" t="s">
        <v>120</v>
      </c>
      <c r="F246" s="3" t="s">
        <v>121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7000</v>
      </c>
      <c r="N246" s="4">
        <v>0</v>
      </c>
      <c r="O246" s="4">
        <v>0</v>
      </c>
      <c r="P246" s="4">
        <f t="shared" si="21"/>
        <v>0</v>
      </c>
    </row>
    <row r="247" spans="1:16" x14ac:dyDescent="0.3">
      <c r="A247" s="3"/>
      <c r="B247" s="5" t="s">
        <v>329</v>
      </c>
      <c r="C247" s="5"/>
      <c r="D247" s="5"/>
      <c r="E247" s="5"/>
      <c r="F247" s="5"/>
      <c r="G247" s="6">
        <f>SUM(G246)</f>
        <v>0</v>
      </c>
      <c r="H247" s="6">
        <f t="shared" ref="H247:O247" si="23">SUM(H246)</f>
        <v>0</v>
      </c>
      <c r="I247" s="6">
        <f t="shared" si="23"/>
        <v>0</v>
      </c>
      <c r="J247" s="6">
        <f t="shared" si="23"/>
        <v>0</v>
      </c>
      <c r="K247" s="6">
        <f t="shared" si="23"/>
        <v>0</v>
      </c>
      <c r="L247" s="6">
        <f t="shared" si="23"/>
        <v>0</v>
      </c>
      <c r="M247" s="6">
        <f t="shared" si="23"/>
        <v>7000</v>
      </c>
      <c r="N247" s="6">
        <f t="shared" si="23"/>
        <v>0</v>
      </c>
      <c r="O247" s="6">
        <f t="shared" si="23"/>
        <v>0</v>
      </c>
      <c r="P247" s="6">
        <f t="shared" si="21"/>
        <v>0</v>
      </c>
    </row>
    <row r="248" spans="1:16" x14ac:dyDescent="0.3">
      <c r="A248" s="3"/>
      <c r="B248" s="3" t="s">
        <v>330</v>
      </c>
      <c r="C248" s="3" t="s">
        <v>331</v>
      </c>
      <c r="D248" s="3" t="s">
        <v>215</v>
      </c>
      <c r="E248" s="3" t="s">
        <v>120</v>
      </c>
      <c r="F248" s="3" t="s">
        <v>121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-1657.41</v>
      </c>
      <c r="M248" s="4">
        <v>0</v>
      </c>
      <c r="N248" s="4">
        <v>0</v>
      </c>
      <c r="O248" s="4">
        <v>0</v>
      </c>
      <c r="P248" s="4">
        <f t="shared" si="21"/>
        <v>0</v>
      </c>
    </row>
    <row r="249" spans="1:16" x14ac:dyDescent="0.3">
      <c r="A249" s="3"/>
      <c r="B249" s="3"/>
      <c r="C249" s="3" t="s">
        <v>332</v>
      </c>
      <c r="D249" s="3" t="s">
        <v>333</v>
      </c>
      <c r="E249" s="3" t="s">
        <v>273</v>
      </c>
      <c r="F249" s="3" t="s">
        <v>274</v>
      </c>
      <c r="G249" s="4">
        <v>0</v>
      </c>
      <c r="H249" s="4">
        <v>0</v>
      </c>
      <c r="I249" s="4">
        <v>0</v>
      </c>
      <c r="J249" s="4">
        <v>0</v>
      </c>
      <c r="K249" s="4">
        <v>-3884.89</v>
      </c>
      <c r="L249" s="4">
        <v>-134240</v>
      </c>
      <c r="M249" s="4">
        <v>206761.74</v>
      </c>
      <c r="N249" s="4">
        <v>0</v>
      </c>
      <c r="O249" s="4">
        <v>0</v>
      </c>
      <c r="P249" s="4">
        <f t="shared" si="21"/>
        <v>0</v>
      </c>
    </row>
    <row r="250" spans="1:16" x14ac:dyDescent="0.3">
      <c r="A250" s="3"/>
      <c r="B250" s="3"/>
      <c r="C250" s="3"/>
      <c r="D250" s="3"/>
      <c r="E250" s="3" t="s">
        <v>52</v>
      </c>
      <c r="F250" s="3" t="s">
        <v>53</v>
      </c>
      <c r="G250" s="4">
        <v>0</v>
      </c>
      <c r="H250" s="4">
        <v>0</v>
      </c>
      <c r="I250" s="4">
        <v>0</v>
      </c>
      <c r="J250" s="4">
        <v>0</v>
      </c>
      <c r="K250" s="4">
        <v>6686.72</v>
      </c>
      <c r="L250" s="4">
        <v>0</v>
      </c>
      <c r="M250" s="4">
        <v>0</v>
      </c>
      <c r="N250" s="4">
        <v>0</v>
      </c>
      <c r="O250" s="4">
        <v>0</v>
      </c>
      <c r="P250" s="4">
        <f t="shared" si="21"/>
        <v>0</v>
      </c>
    </row>
    <row r="251" spans="1:16" x14ac:dyDescent="0.3">
      <c r="A251" s="3"/>
      <c r="B251" s="3"/>
      <c r="C251" s="3" t="s">
        <v>334</v>
      </c>
      <c r="D251" s="3" t="s">
        <v>219</v>
      </c>
      <c r="E251" s="3" t="s">
        <v>120</v>
      </c>
      <c r="F251" s="3" t="s">
        <v>121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441500</v>
      </c>
      <c r="N251" s="4">
        <v>0</v>
      </c>
      <c r="O251" s="4">
        <v>0</v>
      </c>
      <c r="P251" s="4">
        <f t="shared" si="21"/>
        <v>0</v>
      </c>
    </row>
    <row r="252" spans="1:16" x14ac:dyDescent="0.3">
      <c r="A252" s="3"/>
      <c r="B252" s="5" t="s">
        <v>335</v>
      </c>
      <c r="C252" s="5"/>
      <c r="D252" s="5"/>
      <c r="E252" s="5"/>
      <c r="F252" s="5"/>
      <c r="G252" s="6">
        <f>SUM(G248:G251)</f>
        <v>0</v>
      </c>
      <c r="H252" s="6">
        <f t="shared" ref="H252:O252" si="24">SUM(H248:H251)</f>
        <v>0</v>
      </c>
      <c r="I252" s="6">
        <f t="shared" si="24"/>
        <v>0</v>
      </c>
      <c r="J252" s="6">
        <f t="shared" si="24"/>
        <v>0</v>
      </c>
      <c r="K252" s="6">
        <f t="shared" si="24"/>
        <v>2801.8300000000004</v>
      </c>
      <c r="L252" s="6">
        <f t="shared" si="24"/>
        <v>-135897.41</v>
      </c>
      <c r="M252" s="6">
        <f t="shared" si="24"/>
        <v>648261.74</v>
      </c>
      <c r="N252" s="6">
        <f t="shared" si="24"/>
        <v>0</v>
      </c>
      <c r="O252" s="6">
        <f t="shared" si="24"/>
        <v>0</v>
      </c>
      <c r="P252" s="6">
        <f t="shared" si="21"/>
        <v>0</v>
      </c>
    </row>
    <row r="253" spans="1:16" x14ac:dyDescent="0.3">
      <c r="A253" s="3"/>
      <c r="B253" s="3" t="s">
        <v>336</v>
      </c>
      <c r="C253" s="3" t="s">
        <v>337</v>
      </c>
      <c r="D253" s="3" t="s">
        <v>338</v>
      </c>
      <c r="E253" s="3" t="s">
        <v>98</v>
      </c>
      <c r="F253" s="3" t="s">
        <v>99</v>
      </c>
      <c r="G253" s="4">
        <v>0</v>
      </c>
      <c r="H253" s="4">
        <v>12000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f t="shared" si="21"/>
        <v>0</v>
      </c>
    </row>
    <row r="254" spans="1:16" x14ac:dyDescent="0.3">
      <c r="A254" s="3"/>
      <c r="B254" s="3"/>
      <c r="C254" s="3"/>
      <c r="D254" s="3"/>
      <c r="E254" s="3" t="s">
        <v>339</v>
      </c>
      <c r="F254" s="3" t="s">
        <v>340</v>
      </c>
      <c r="G254" s="4">
        <v>0</v>
      </c>
      <c r="H254" s="4">
        <v>0</v>
      </c>
      <c r="I254" s="4">
        <v>0</v>
      </c>
      <c r="J254" s="4">
        <v>0</v>
      </c>
      <c r="K254" s="4">
        <v>4000</v>
      </c>
      <c r="L254" s="4">
        <v>4500</v>
      </c>
      <c r="M254" s="4">
        <v>2250</v>
      </c>
      <c r="N254" s="4">
        <v>0</v>
      </c>
      <c r="O254" s="4">
        <v>0</v>
      </c>
      <c r="P254" s="4">
        <f t="shared" si="21"/>
        <v>0</v>
      </c>
    </row>
    <row r="255" spans="1:16" x14ac:dyDescent="0.3">
      <c r="A255" s="3"/>
      <c r="B255" s="3"/>
      <c r="C255" s="3"/>
      <c r="D255" s="3"/>
      <c r="E255" s="3" t="s">
        <v>146</v>
      </c>
      <c r="F255" s="3" t="s">
        <v>147</v>
      </c>
      <c r="G255" s="4">
        <v>10000</v>
      </c>
      <c r="H255" s="4">
        <v>30000</v>
      </c>
      <c r="I255" s="4">
        <v>43182.47</v>
      </c>
      <c r="J255" s="4">
        <v>8000</v>
      </c>
      <c r="K255" s="4">
        <v>5000</v>
      </c>
      <c r="L255" s="4">
        <v>31975</v>
      </c>
      <c r="M255" s="4">
        <v>7877.17</v>
      </c>
      <c r="N255" s="4">
        <v>37075</v>
      </c>
      <c r="O255" s="4">
        <v>0</v>
      </c>
      <c r="P255" s="4">
        <f t="shared" si="21"/>
        <v>-37075</v>
      </c>
    </row>
    <row r="256" spans="1:16" x14ac:dyDescent="0.3">
      <c r="A256" s="3"/>
      <c r="B256" s="3"/>
      <c r="C256" s="3"/>
      <c r="D256" s="3"/>
      <c r="E256" s="3" t="s">
        <v>120</v>
      </c>
      <c r="F256" s="3" t="s">
        <v>121</v>
      </c>
      <c r="G256" s="4">
        <v>0</v>
      </c>
      <c r="H256" s="4">
        <v>0</v>
      </c>
      <c r="I256" s="4">
        <v>-198377.96000000002</v>
      </c>
      <c r="J256" s="4">
        <v>53558.67</v>
      </c>
      <c r="K256" s="4">
        <v>0</v>
      </c>
      <c r="L256" s="4">
        <v>18471.080000000002</v>
      </c>
      <c r="M256" s="4">
        <v>0</v>
      </c>
      <c r="N256" s="4">
        <v>3528</v>
      </c>
      <c r="O256" s="4">
        <v>0</v>
      </c>
      <c r="P256" s="4">
        <f t="shared" si="21"/>
        <v>-3528</v>
      </c>
    </row>
    <row r="257" spans="1:16" x14ac:dyDescent="0.3">
      <c r="A257" s="3"/>
      <c r="B257" s="3"/>
      <c r="C257" s="3" t="s">
        <v>341</v>
      </c>
      <c r="D257" s="3" t="s">
        <v>342</v>
      </c>
      <c r="E257" s="3" t="s">
        <v>92</v>
      </c>
      <c r="F257" s="3" t="s">
        <v>93</v>
      </c>
      <c r="G257" s="4">
        <v>1000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f t="shared" si="21"/>
        <v>0</v>
      </c>
    </row>
    <row r="258" spans="1:16" x14ac:dyDescent="0.3">
      <c r="A258" s="3"/>
      <c r="B258" s="3"/>
      <c r="C258" s="3"/>
      <c r="D258" s="3"/>
      <c r="E258" s="3" t="s">
        <v>273</v>
      </c>
      <c r="F258" s="3" t="s">
        <v>274</v>
      </c>
      <c r="G258" s="4">
        <v>0</v>
      </c>
      <c r="H258" s="4">
        <v>0</v>
      </c>
      <c r="I258" s="4">
        <v>88950</v>
      </c>
      <c r="J258" s="4">
        <v>0</v>
      </c>
      <c r="K258" s="4">
        <v>0</v>
      </c>
      <c r="L258" s="4">
        <v>0</v>
      </c>
      <c r="M258" s="4">
        <v>41153.230000000003</v>
      </c>
      <c r="N258" s="4">
        <v>0</v>
      </c>
      <c r="O258" s="4">
        <v>0</v>
      </c>
      <c r="P258" s="4">
        <f t="shared" si="21"/>
        <v>0</v>
      </c>
    </row>
    <row r="259" spans="1:16" x14ac:dyDescent="0.3">
      <c r="A259" s="3"/>
      <c r="B259" s="3"/>
      <c r="C259" s="3"/>
      <c r="D259" s="3"/>
      <c r="E259" s="3" t="s">
        <v>52</v>
      </c>
      <c r="F259" s="3" t="s">
        <v>53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114950</v>
      </c>
      <c r="N259" s="4">
        <v>0</v>
      </c>
      <c r="O259" s="4">
        <v>0</v>
      </c>
      <c r="P259" s="4">
        <f t="shared" si="21"/>
        <v>0</v>
      </c>
    </row>
    <row r="260" spans="1:16" x14ac:dyDescent="0.3">
      <c r="A260" s="3"/>
      <c r="B260" s="3"/>
      <c r="C260" s="3"/>
      <c r="D260" s="3"/>
      <c r="E260" s="3" t="s">
        <v>120</v>
      </c>
      <c r="F260" s="3" t="s">
        <v>121</v>
      </c>
      <c r="G260" s="4">
        <v>0</v>
      </c>
      <c r="H260" s="4">
        <v>200000</v>
      </c>
      <c r="I260" s="4">
        <v>193000</v>
      </c>
      <c r="J260" s="4">
        <v>0</v>
      </c>
      <c r="K260" s="4">
        <v>1500</v>
      </c>
      <c r="L260" s="4">
        <v>1500</v>
      </c>
      <c r="M260" s="4">
        <v>0</v>
      </c>
      <c r="N260" s="4">
        <v>100157.1</v>
      </c>
      <c r="O260" s="4">
        <v>0</v>
      </c>
      <c r="P260" s="4">
        <f t="shared" si="21"/>
        <v>-100157.1</v>
      </c>
    </row>
    <row r="261" spans="1:16" x14ac:dyDescent="0.3">
      <c r="A261" s="3"/>
      <c r="B261" s="3"/>
      <c r="C261" s="3"/>
      <c r="D261" s="3"/>
      <c r="E261" s="3" t="s">
        <v>174</v>
      </c>
      <c r="F261" s="3" t="s">
        <v>175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7500</v>
      </c>
      <c r="N261" s="4">
        <v>0</v>
      </c>
      <c r="O261" s="4">
        <v>0</v>
      </c>
      <c r="P261" s="4">
        <f t="shared" si="21"/>
        <v>0</v>
      </c>
    </row>
    <row r="262" spans="1:16" x14ac:dyDescent="0.3">
      <c r="A262" s="3"/>
      <c r="B262" s="3"/>
      <c r="C262" s="3" t="s">
        <v>343</v>
      </c>
      <c r="D262" s="3" t="s">
        <v>344</v>
      </c>
      <c r="E262" s="3" t="s">
        <v>273</v>
      </c>
      <c r="F262" s="3" t="s">
        <v>274</v>
      </c>
      <c r="G262" s="4">
        <v>-18927.02</v>
      </c>
      <c r="H262" s="4">
        <v>25299.14</v>
      </c>
      <c r="I262" s="4">
        <v>240656.25</v>
      </c>
      <c r="J262" s="4">
        <v>0</v>
      </c>
      <c r="K262" s="4">
        <v>52350.8</v>
      </c>
      <c r="L262" s="4">
        <v>0</v>
      </c>
      <c r="M262" s="4">
        <v>91889.73</v>
      </c>
      <c r="N262" s="4">
        <v>0</v>
      </c>
      <c r="O262" s="4">
        <v>0</v>
      </c>
      <c r="P262" s="4">
        <f t="shared" si="21"/>
        <v>0</v>
      </c>
    </row>
    <row r="263" spans="1:16" x14ac:dyDescent="0.3">
      <c r="A263" s="3"/>
      <c r="B263" s="3"/>
      <c r="C263" s="3" t="s">
        <v>345</v>
      </c>
      <c r="D263" s="3" t="s">
        <v>346</v>
      </c>
      <c r="E263" s="3" t="s">
        <v>232</v>
      </c>
      <c r="F263" s="3" t="s">
        <v>233</v>
      </c>
      <c r="G263" s="4">
        <v>64500</v>
      </c>
      <c r="H263" s="4">
        <v>120893.75</v>
      </c>
      <c r="I263" s="4">
        <v>285060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f t="shared" si="21"/>
        <v>0</v>
      </c>
    </row>
    <row r="264" spans="1:16" x14ac:dyDescent="0.3">
      <c r="A264" s="3"/>
      <c r="B264" s="3"/>
      <c r="C264" s="3"/>
      <c r="D264" s="3"/>
      <c r="E264" s="3" t="s">
        <v>120</v>
      </c>
      <c r="F264" s="3" t="s">
        <v>121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79977.41</v>
      </c>
      <c r="M264" s="4">
        <v>6185.3</v>
      </c>
      <c r="N264" s="4">
        <v>0</v>
      </c>
      <c r="O264" s="4">
        <v>0</v>
      </c>
      <c r="P264" s="4">
        <f t="shared" si="21"/>
        <v>0</v>
      </c>
    </row>
    <row r="265" spans="1:16" x14ac:dyDescent="0.3">
      <c r="A265" s="3"/>
      <c r="B265" s="3"/>
      <c r="C265" s="3"/>
      <c r="D265" s="3"/>
      <c r="E265" s="3" t="s">
        <v>256</v>
      </c>
      <c r="F265" s="3" t="s">
        <v>257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-38532.36</v>
      </c>
      <c r="P265" s="4">
        <f t="shared" si="21"/>
        <v>-38532.36</v>
      </c>
    </row>
    <row r="266" spans="1:16" x14ac:dyDescent="0.3">
      <c r="A266" s="3"/>
      <c r="B266" s="3"/>
      <c r="C266" s="3" t="s">
        <v>347</v>
      </c>
      <c r="D266" s="3" t="s">
        <v>348</v>
      </c>
      <c r="E266" s="3" t="s">
        <v>106</v>
      </c>
      <c r="F266" s="3" t="s">
        <v>107</v>
      </c>
      <c r="G266" s="4">
        <v>0</v>
      </c>
      <c r="H266" s="4">
        <v>0</v>
      </c>
      <c r="I266" s="4">
        <v>0</v>
      </c>
      <c r="J266" s="4">
        <v>0</v>
      </c>
      <c r="K266" s="4">
        <v>40850</v>
      </c>
      <c r="L266" s="4">
        <v>6813.62</v>
      </c>
      <c r="M266" s="4">
        <v>0</v>
      </c>
      <c r="N266" s="4">
        <v>0</v>
      </c>
      <c r="O266" s="4">
        <v>0</v>
      </c>
      <c r="P266" s="4">
        <f t="shared" si="21"/>
        <v>0</v>
      </c>
    </row>
    <row r="267" spans="1:16" x14ac:dyDescent="0.3">
      <c r="A267" s="3"/>
      <c r="B267" s="3"/>
      <c r="C267" s="3"/>
      <c r="D267" s="3"/>
      <c r="E267" s="3" t="s">
        <v>120</v>
      </c>
      <c r="F267" s="3" t="s">
        <v>121</v>
      </c>
      <c r="G267" s="4">
        <v>0</v>
      </c>
      <c r="H267" s="4">
        <v>0</v>
      </c>
      <c r="I267" s="4">
        <v>0</v>
      </c>
      <c r="J267" s="4">
        <v>7600</v>
      </c>
      <c r="K267" s="4">
        <v>8600</v>
      </c>
      <c r="L267" s="4">
        <v>8600</v>
      </c>
      <c r="M267" s="4">
        <v>0</v>
      </c>
      <c r="N267" s="4">
        <v>0</v>
      </c>
      <c r="O267" s="4">
        <v>0</v>
      </c>
      <c r="P267" s="4">
        <f t="shared" si="21"/>
        <v>0</v>
      </c>
    </row>
    <row r="268" spans="1:16" x14ac:dyDescent="0.3">
      <c r="A268" s="3"/>
      <c r="B268" s="5" t="s">
        <v>349</v>
      </c>
      <c r="C268" s="5"/>
      <c r="D268" s="5"/>
      <c r="E268" s="5"/>
      <c r="F268" s="5"/>
      <c r="G268" s="6">
        <f t="shared" ref="G268:O268" si="25">SUM(G253:G267)</f>
        <v>56572.979999999996</v>
      </c>
      <c r="H268" s="6">
        <f t="shared" si="25"/>
        <v>388192.89</v>
      </c>
      <c r="I268" s="6">
        <f t="shared" si="25"/>
        <v>652470.76</v>
      </c>
      <c r="J268" s="6">
        <f t="shared" si="25"/>
        <v>69158.67</v>
      </c>
      <c r="K268" s="6">
        <f t="shared" si="25"/>
        <v>112300.8</v>
      </c>
      <c r="L268" s="6">
        <f t="shared" si="25"/>
        <v>151837.10999999999</v>
      </c>
      <c r="M268" s="6">
        <f t="shared" si="25"/>
        <v>271805.43</v>
      </c>
      <c r="N268" s="6">
        <f t="shared" si="25"/>
        <v>140760.1</v>
      </c>
      <c r="O268" s="6">
        <f t="shared" si="25"/>
        <v>-38532.36</v>
      </c>
      <c r="P268" s="6">
        <f t="shared" si="21"/>
        <v>-179292.46000000002</v>
      </c>
    </row>
    <row r="269" spans="1:16" x14ac:dyDescent="0.3">
      <c r="A269" s="3"/>
      <c r="B269" s="3" t="s">
        <v>350</v>
      </c>
      <c r="C269" s="3" t="s">
        <v>351</v>
      </c>
      <c r="D269" s="3" t="s">
        <v>352</v>
      </c>
      <c r="E269" s="3" t="s">
        <v>273</v>
      </c>
      <c r="F269" s="3" t="s">
        <v>274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11.5</v>
      </c>
      <c r="P269" s="4">
        <f t="shared" si="21"/>
        <v>11.5</v>
      </c>
    </row>
    <row r="270" spans="1:16" x14ac:dyDescent="0.3">
      <c r="A270" s="3"/>
      <c r="B270" s="3"/>
      <c r="C270" s="3" t="s">
        <v>353</v>
      </c>
      <c r="D270" s="3" t="s">
        <v>354</v>
      </c>
      <c r="E270" s="3" t="s">
        <v>273</v>
      </c>
      <c r="F270" s="3" t="s">
        <v>274</v>
      </c>
      <c r="G270" s="4">
        <v>2888084.85</v>
      </c>
      <c r="H270" s="4">
        <v>1108360.72</v>
      </c>
      <c r="I270" s="4">
        <v>1415301.46</v>
      </c>
      <c r="J270" s="4">
        <v>1833907.5499999998</v>
      </c>
      <c r="K270" s="4">
        <v>240629.65</v>
      </c>
      <c r="L270" s="4">
        <v>2403903.73</v>
      </c>
      <c r="M270" s="4">
        <v>3121086.8400000003</v>
      </c>
      <c r="N270" s="4">
        <v>3772936.36</v>
      </c>
      <c r="O270" s="4">
        <v>5637930.3499999996</v>
      </c>
      <c r="P270" s="4">
        <f t="shared" si="21"/>
        <v>1864993.9899999998</v>
      </c>
    </row>
    <row r="271" spans="1:16" x14ac:dyDescent="0.3">
      <c r="A271" s="3"/>
      <c r="B271" s="3"/>
      <c r="C271" s="3" t="s">
        <v>355</v>
      </c>
      <c r="D271" s="3" t="s">
        <v>356</v>
      </c>
      <c r="E271" s="3" t="s">
        <v>273</v>
      </c>
      <c r="F271" s="3" t="s">
        <v>274</v>
      </c>
      <c r="G271" s="4">
        <v>57498.78</v>
      </c>
      <c r="H271" s="4">
        <v>0</v>
      </c>
      <c r="I271" s="4">
        <v>4243.22</v>
      </c>
      <c r="J271" s="4">
        <v>200025.35</v>
      </c>
      <c r="K271" s="4">
        <v>0</v>
      </c>
      <c r="L271" s="4">
        <v>12211.329999999998</v>
      </c>
      <c r="M271" s="4">
        <v>0</v>
      </c>
      <c r="N271" s="4">
        <v>0</v>
      </c>
      <c r="O271" s="4">
        <v>0</v>
      </c>
      <c r="P271" s="4">
        <f t="shared" si="21"/>
        <v>0</v>
      </c>
    </row>
    <row r="272" spans="1:16" x14ac:dyDescent="0.3">
      <c r="A272" s="3"/>
      <c r="B272" s="3"/>
      <c r="C272" s="3"/>
      <c r="D272" s="3"/>
      <c r="E272" s="3" t="s">
        <v>98</v>
      </c>
      <c r="F272" s="3" t="s">
        <v>99</v>
      </c>
      <c r="G272" s="4">
        <v>0</v>
      </c>
      <c r="H272" s="4">
        <v>0</v>
      </c>
      <c r="I272" s="4">
        <v>0</v>
      </c>
      <c r="J272" s="4">
        <v>338081.5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f t="shared" si="21"/>
        <v>0</v>
      </c>
    </row>
    <row r="273" spans="1:16" x14ac:dyDescent="0.3">
      <c r="A273" s="3"/>
      <c r="B273" s="3"/>
      <c r="C273" s="3"/>
      <c r="D273" s="3"/>
      <c r="E273" s="3" t="s">
        <v>52</v>
      </c>
      <c r="F273" s="3" t="s">
        <v>53</v>
      </c>
      <c r="G273" s="4">
        <v>0</v>
      </c>
      <c r="H273" s="4">
        <v>0</v>
      </c>
      <c r="I273" s="4">
        <v>0</v>
      </c>
      <c r="J273" s="4">
        <v>808.93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f t="shared" si="21"/>
        <v>0</v>
      </c>
    </row>
    <row r="274" spans="1:16" x14ac:dyDescent="0.3">
      <c r="A274" s="3"/>
      <c r="B274" s="3"/>
      <c r="C274" s="3" t="s">
        <v>357</v>
      </c>
      <c r="D274" s="3" t="s">
        <v>358</v>
      </c>
      <c r="E274" s="3" t="s">
        <v>359</v>
      </c>
      <c r="F274" s="3" t="s">
        <v>360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32796.99</v>
      </c>
      <c r="O274" s="4">
        <v>4111</v>
      </c>
      <c r="P274" s="4">
        <f t="shared" si="21"/>
        <v>-28685.989999999998</v>
      </c>
    </row>
    <row r="275" spans="1:16" x14ac:dyDescent="0.3">
      <c r="A275" s="3"/>
      <c r="B275" s="3"/>
      <c r="C275" s="3"/>
      <c r="D275" s="3"/>
      <c r="E275" s="3" t="s">
        <v>273</v>
      </c>
      <c r="F275" s="3" t="s">
        <v>274</v>
      </c>
      <c r="G275" s="4">
        <v>919293.66999999993</v>
      </c>
      <c r="H275" s="4">
        <v>1038524.41</v>
      </c>
      <c r="I275" s="4">
        <v>1360780.22</v>
      </c>
      <c r="J275" s="4">
        <v>1158194.8599999999</v>
      </c>
      <c r="K275" s="4">
        <v>370618.17</v>
      </c>
      <c r="L275" s="4">
        <v>1407879.3499999996</v>
      </c>
      <c r="M275" s="4">
        <v>1209962.31</v>
      </c>
      <c r="N275" s="4">
        <v>333815.84999999998</v>
      </c>
      <c r="O275" s="4">
        <v>111763.76</v>
      </c>
      <c r="P275" s="4">
        <f t="shared" si="21"/>
        <v>-222052.08999999997</v>
      </c>
    </row>
    <row r="276" spans="1:16" x14ac:dyDescent="0.3">
      <c r="A276" s="3"/>
      <c r="B276" s="3"/>
      <c r="C276" s="3"/>
      <c r="D276" s="3"/>
      <c r="E276" s="3" t="s">
        <v>52</v>
      </c>
      <c r="F276" s="3" t="s">
        <v>53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3783.44</v>
      </c>
      <c r="M276" s="4">
        <v>0</v>
      </c>
      <c r="N276" s="4">
        <v>44228.51</v>
      </c>
      <c r="O276" s="4">
        <v>66059.97</v>
      </c>
      <c r="P276" s="4">
        <f t="shared" si="21"/>
        <v>21831.46</v>
      </c>
    </row>
    <row r="277" spans="1:16" x14ac:dyDescent="0.3">
      <c r="A277" s="3"/>
      <c r="B277" s="3"/>
      <c r="C277" s="3" t="s">
        <v>361</v>
      </c>
      <c r="D277" s="3" t="s">
        <v>362</v>
      </c>
      <c r="E277" s="3" t="s">
        <v>273</v>
      </c>
      <c r="F277" s="3" t="s">
        <v>274</v>
      </c>
      <c r="G277" s="4">
        <v>0</v>
      </c>
      <c r="H277" s="4">
        <v>9166.65</v>
      </c>
      <c r="I277" s="4">
        <v>5499.99</v>
      </c>
      <c r="J277" s="4">
        <v>456872.43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f t="shared" si="21"/>
        <v>0</v>
      </c>
    </row>
    <row r="278" spans="1:16" x14ac:dyDescent="0.3">
      <c r="A278" s="3"/>
      <c r="B278" s="3"/>
      <c r="C278" s="3"/>
      <c r="D278" s="3"/>
      <c r="E278" s="3" t="s">
        <v>52</v>
      </c>
      <c r="F278" s="3" t="s">
        <v>53</v>
      </c>
      <c r="G278" s="4">
        <v>1833.33</v>
      </c>
      <c r="H278" s="4">
        <v>0</v>
      </c>
      <c r="I278" s="4">
        <v>0</v>
      </c>
      <c r="J278" s="4">
        <v>0</v>
      </c>
      <c r="K278" s="4">
        <v>42860.68</v>
      </c>
      <c r="L278" s="4">
        <v>0</v>
      </c>
      <c r="M278" s="4">
        <v>0</v>
      </c>
      <c r="N278" s="4">
        <v>0</v>
      </c>
      <c r="O278" s="4">
        <v>0</v>
      </c>
      <c r="P278" s="4">
        <f t="shared" si="21"/>
        <v>0</v>
      </c>
    </row>
    <row r="279" spans="1:16" x14ac:dyDescent="0.3">
      <c r="A279" s="3"/>
      <c r="B279" s="3"/>
      <c r="C279" s="3" t="s">
        <v>363</v>
      </c>
      <c r="D279" s="3" t="s">
        <v>364</v>
      </c>
      <c r="E279" s="3" t="s">
        <v>273</v>
      </c>
      <c r="F279" s="3" t="s">
        <v>274</v>
      </c>
      <c r="G279" s="4">
        <v>10716.29</v>
      </c>
      <c r="H279" s="4">
        <v>0</v>
      </c>
      <c r="I279" s="4">
        <v>0</v>
      </c>
      <c r="J279" s="4">
        <v>0</v>
      </c>
      <c r="K279" s="4">
        <v>340968.75</v>
      </c>
      <c r="L279" s="4">
        <v>125338.31</v>
      </c>
      <c r="M279" s="4">
        <v>11438.45</v>
      </c>
      <c r="N279" s="4">
        <v>68628.790000000008</v>
      </c>
      <c r="O279" s="4">
        <v>33874.929999999993</v>
      </c>
      <c r="P279" s="4">
        <f t="shared" si="21"/>
        <v>-34753.860000000015</v>
      </c>
    </row>
    <row r="280" spans="1:16" x14ac:dyDescent="0.3">
      <c r="A280" s="3"/>
      <c r="B280" s="5" t="s">
        <v>365</v>
      </c>
      <c r="C280" s="5"/>
      <c r="D280" s="5"/>
      <c r="E280" s="5"/>
      <c r="F280" s="5"/>
      <c r="G280" s="6">
        <f>SUM(G269:G279)</f>
        <v>3877426.92</v>
      </c>
      <c r="H280" s="6">
        <f t="shared" ref="H280:O280" si="26">SUM(H269:H279)</f>
        <v>2156051.7799999998</v>
      </c>
      <c r="I280" s="6">
        <f t="shared" si="26"/>
        <v>2785824.89</v>
      </c>
      <c r="J280" s="6">
        <f t="shared" si="26"/>
        <v>3987890.62</v>
      </c>
      <c r="K280" s="6">
        <f t="shared" si="26"/>
        <v>995077.25</v>
      </c>
      <c r="L280" s="6">
        <f t="shared" si="26"/>
        <v>3953116.1599999997</v>
      </c>
      <c r="M280" s="6">
        <f t="shared" si="26"/>
        <v>4342487.6000000006</v>
      </c>
      <c r="N280" s="6">
        <f t="shared" si="26"/>
        <v>4252406.5</v>
      </c>
      <c r="O280" s="6">
        <f t="shared" si="26"/>
        <v>5853751.5099999988</v>
      </c>
      <c r="P280" s="6">
        <f t="shared" si="21"/>
        <v>1601345.0099999988</v>
      </c>
    </row>
    <row r="281" spans="1:16" x14ac:dyDescent="0.3">
      <c r="A281" s="7" t="s">
        <v>366</v>
      </c>
      <c r="B281" s="7"/>
      <c r="C281" s="7"/>
      <c r="D281" s="7"/>
      <c r="E281" s="7"/>
      <c r="F281" s="7"/>
      <c r="G281" s="8">
        <f t="shared" ref="G281:O281" si="27">+G280+G268+G252+G247+G245+G223+G198</f>
        <v>13948946.489999998</v>
      </c>
      <c r="H281" s="8">
        <f t="shared" si="27"/>
        <v>10440230.060000002</v>
      </c>
      <c r="I281" s="8">
        <f t="shared" si="27"/>
        <v>11047207.76</v>
      </c>
      <c r="J281" s="8">
        <f t="shared" si="27"/>
        <v>15400789.059999999</v>
      </c>
      <c r="K281" s="8">
        <f t="shared" si="27"/>
        <v>13592619.270000001</v>
      </c>
      <c r="L281" s="8">
        <f t="shared" si="27"/>
        <v>16383880.709999999</v>
      </c>
      <c r="M281" s="8">
        <f t="shared" si="27"/>
        <v>9030401.4000000004</v>
      </c>
      <c r="N281" s="8">
        <f t="shared" si="27"/>
        <v>7857369.4199999999</v>
      </c>
      <c r="O281" s="8">
        <f t="shared" si="27"/>
        <v>11210631.279999996</v>
      </c>
      <c r="P281" s="8">
        <f t="shared" si="21"/>
        <v>3353261.8599999957</v>
      </c>
    </row>
    <row r="282" spans="1:16" x14ac:dyDescent="0.3">
      <c r="A282" s="3" t="s">
        <v>367</v>
      </c>
      <c r="B282" s="3" t="s">
        <v>368</v>
      </c>
      <c r="C282" s="3" t="s">
        <v>369</v>
      </c>
      <c r="D282" s="3" t="s">
        <v>370</v>
      </c>
      <c r="E282" s="3" t="s">
        <v>371</v>
      </c>
      <c r="F282" s="3" t="s">
        <v>372</v>
      </c>
      <c r="G282" s="4">
        <v>0</v>
      </c>
      <c r="H282" s="4">
        <v>-140757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f t="shared" si="21"/>
        <v>0</v>
      </c>
    </row>
    <row r="283" spans="1:16" x14ac:dyDescent="0.3">
      <c r="A283" s="3"/>
      <c r="B283" s="3"/>
      <c r="C283" s="3"/>
      <c r="D283" s="3"/>
      <c r="E283" s="3" t="s">
        <v>86</v>
      </c>
      <c r="F283" s="3" t="s">
        <v>87</v>
      </c>
      <c r="G283" s="4">
        <v>0</v>
      </c>
      <c r="H283" s="4">
        <v>87898.860000000015</v>
      </c>
      <c r="I283" s="4">
        <v>-10367.200000000001</v>
      </c>
      <c r="J283" s="4">
        <v>-230.7</v>
      </c>
      <c r="K283" s="4">
        <v>-67.290000000000006</v>
      </c>
      <c r="L283" s="4">
        <v>0</v>
      </c>
      <c r="M283" s="4">
        <v>-12179.64</v>
      </c>
      <c r="N283" s="4">
        <v>21997.82</v>
      </c>
      <c r="O283" s="4">
        <v>-230.34</v>
      </c>
      <c r="P283" s="4">
        <f t="shared" si="21"/>
        <v>-22228.16</v>
      </c>
    </row>
    <row r="284" spans="1:16" x14ac:dyDescent="0.3">
      <c r="A284" s="3"/>
      <c r="B284" s="3"/>
      <c r="C284" s="3"/>
      <c r="D284" s="3"/>
      <c r="E284" s="3" t="s">
        <v>120</v>
      </c>
      <c r="F284" s="3" t="s">
        <v>121</v>
      </c>
      <c r="G284" s="4">
        <v>133731.29</v>
      </c>
      <c r="H284" s="4">
        <v>72129.5</v>
      </c>
      <c r="I284" s="4">
        <v>-9573.89</v>
      </c>
      <c r="J284" s="4">
        <v>28994.5</v>
      </c>
      <c r="K284" s="4">
        <v>0</v>
      </c>
      <c r="L284" s="4">
        <v>-17317.760000000002</v>
      </c>
      <c r="M284" s="4">
        <v>-22505.54</v>
      </c>
      <c r="N284" s="4">
        <v>1139056.04</v>
      </c>
      <c r="O284" s="4">
        <v>1128128.69</v>
      </c>
      <c r="P284" s="4">
        <f t="shared" si="21"/>
        <v>-10927.350000000093</v>
      </c>
    </row>
    <row r="285" spans="1:16" x14ac:dyDescent="0.3">
      <c r="A285" s="3"/>
      <c r="B285" s="3"/>
      <c r="C285" s="3" t="s">
        <v>375</v>
      </c>
      <c r="D285" s="3" t="s">
        <v>376</v>
      </c>
      <c r="E285" s="3" t="s">
        <v>373</v>
      </c>
      <c r="F285" s="3" t="s">
        <v>374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2571255.7399999998</v>
      </c>
      <c r="O285" s="4">
        <v>0</v>
      </c>
      <c r="P285" s="4">
        <f t="shared" si="21"/>
        <v>-2571255.7399999998</v>
      </c>
    </row>
    <row r="286" spans="1:16" x14ac:dyDescent="0.3">
      <c r="A286" s="3"/>
      <c r="B286" s="3"/>
      <c r="C286" s="3" t="s">
        <v>377</v>
      </c>
      <c r="D286" s="3" t="s">
        <v>378</v>
      </c>
      <c r="E286" s="3" t="s">
        <v>265</v>
      </c>
      <c r="F286" s="3" t="s">
        <v>266</v>
      </c>
      <c r="G286" s="4">
        <v>0</v>
      </c>
      <c r="H286" s="4">
        <v>0</v>
      </c>
      <c r="I286" s="4">
        <v>0</v>
      </c>
      <c r="J286" s="4">
        <v>96300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f t="shared" si="21"/>
        <v>0</v>
      </c>
    </row>
    <row r="287" spans="1:16" x14ac:dyDescent="0.3">
      <c r="A287" s="3"/>
      <c r="B287" s="5" t="s">
        <v>379</v>
      </c>
      <c r="C287" s="5"/>
      <c r="D287" s="5"/>
      <c r="E287" s="5"/>
      <c r="F287" s="5"/>
      <c r="G287" s="6">
        <f t="shared" ref="G287:O287" si="28">SUM(G282:G286)</f>
        <v>133731.29</v>
      </c>
      <c r="H287" s="6">
        <f t="shared" si="28"/>
        <v>19271.360000000015</v>
      </c>
      <c r="I287" s="6">
        <f t="shared" si="28"/>
        <v>-19941.09</v>
      </c>
      <c r="J287" s="6">
        <f t="shared" si="28"/>
        <v>125063.8</v>
      </c>
      <c r="K287" s="6">
        <f t="shared" si="28"/>
        <v>-67.290000000000006</v>
      </c>
      <c r="L287" s="6">
        <f t="shared" si="28"/>
        <v>-17317.760000000002</v>
      </c>
      <c r="M287" s="6">
        <f t="shared" si="28"/>
        <v>-34685.18</v>
      </c>
      <c r="N287" s="6">
        <f t="shared" si="28"/>
        <v>3732309.5999999996</v>
      </c>
      <c r="O287" s="6">
        <f t="shared" si="28"/>
        <v>1127898.3499999999</v>
      </c>
      <c r="P287" s="6">
        <f t="shared" si="21"/>
        <v>-2604411.25</v>
      </c>
    </row>
    <row r="288" spans="1:16" x14ac:dyDescent="0.3">
      <c r="A288" s="7" t="s">
        <v>380</v>
      </c>
      <c r="B288" s="7"/>
      <c r="C288" s="7"/>
      <c r="D288" s="7"/>
      <c r="E288" s="7"/>
      <c r="F288" s="7"/>
      <c r="G288" s="8">
        <f>+G287</f>
        <v>133731.29</v>
      </c>
      <c r="H288" s="8">
        <f t="shared" ref="H288:O288" si="29">+H287</f>
        <v>19271.360000000015</v>
      </c>
      <c r="I288" s="8">
        <f t="shared" si="29"/>
        <v>-19941.09</v>
      </c>
      <c r="J288" s="8">
        <f t="shared" si="29"/>
        <v>125063.8</v>
      </c>
      <c r="K288" s="8">
        <f t="shared" si="29"/>
        <v>-67.290000000000006</v>
      </c>
      <c r="L288" s="8">
        <f t="shared" si="29"/>
        <v>-17317.760000000002</v>
      </c>
      <c r="M288" s="8">
        <f t="shared" si="29"/>
        <v>-34685.18</v>
      </c>
      <c r="N288" s="8">
        <f t="shared" si="29"/>
        <v>3732309.5999999996</v>
      </c>
      <c r="O288" s="8">
        <f t="shared" si="29"/>
        <v>1127898.3499999999</v>
      </c>
      <c r="P288" s="8">
        <f t="shared" si="21"/>
        <v>-2604411.25</v>
      </c>
    </row>
    <row r="289" spans="1:19" x14ac:dyDescent="0.3">
      <c r="A289" s="2" t="s">
        <v>13</v>
      </c>
      <c r="B289" s="2"/>
      <c r="C289" s="2"/>
      <c r="D289" s="2"/>
      <c r="E289" s="2"/>
      <c r="F289" s="2"/>
      <c r="G289" s="9">
        <f t="shared" ref="G289:O289" si="30">+G288+G281+G179+G48</f>
        <v>20044150.310000002</v>
      </c>
      <c r="H289" s="9">
        <f t="shared" si="30"/>
        <v>16939312.040000003</v>
      </c>
      <c r="I289" s="9">
        <f t="shared" si="30"/>
        <v>16947411.920000002</v>
      </c>
      <c r="J289" s="9">
        <f t="shared" si="30"/>
        <v>18618383.029999997</v>
      </c>
      <c r="K289" s="9">
        <f t="shared" si="30"/>
        <v>18181976.470000003</v>
      </c>
      <c r="L289" s="9">
        <f t="shared" si="30"/>
        <v>22026027.539999999</v>
      </c>
      <c r="M289" s="9">
        <f t="shared" si="30"/>
        <v>12105528.98</v>
      </c>
      <c r="N289" s="9">
        <f t="shared" si="30"/>
        <v>16310252.140000001</v>
      </c>
      <c r="O289" s="9">
        <f t="shared" si="30"/>
        <v>18801997.929999996</v>
      </c>
      <c r="P289" s="9">
        <f t="shared" si="21"/>
        <v>2491745.7899999954</v>
      </c>
    </row>
    <row r="292" spans="1:19" ht="28.8" x14ac:dyDescent="0.3">
      <c r="F292" s="16" t="s">
        <v>417</v>
      </c>
      <c r="G292" s="10" t="s">
        <v>381</v>
      </c>
      <c r="H292" s="10" t="s">
        <v>382</v>
      </c>
      <c r="I292" s="10" t="s">
        <v>383</v>
      </c>
      <c r="J292" s="10" t="s">
        <v>384</v>
      </c>
      <c r="K292" s="10" t="s">
        <v>385</v>
      </c>
      <c r="L292" s="10" t="s">
        <v>386</v>
      </c>
      <c r="M292" s="10" t="s">
        <v>387</v>
      </c>
      <c r="N292" s="10" t="s">
        <v>388</v>
      </c>
      <c r="O292" s="10" t="s">
        <v>389</v>
      </c>
      <c r="P292" s="10" t="s">
        <v>390</v>
      </c>
      <c r="R292" s="10" t="s">
        <v>422</v>
      </c>
      <c r="S292" s="10" t="s">
        <v>420</v>
      </c>
    </row>
    <row r="293" spans="1:19" x14ac:dyDescent="0.3">
      <c r="F293" s="12" t="s">
        <v>392</v>
      </c>
      <c r="G293" s="13">
        <v>3050418.23</v>
      </c>
      <c r="H293" s="13">
        <v>3788916.330000001</v>
      </c>
      <c r="I293" s="13">
        <v>2915843.7999999993</v>
      </c>
      <c r="J293" s="13">
        <v>1920625.1999999997</v>
      </c>
      <c r="K293" s="13">
        <v>2500604.1899999995</v>
      </c>
      <c r="L293" s="13">
        <v>2332440.9700000002</v>
      </c>
      <c r="M293" s="13">
        <v>2314977.6300000004</v>
      </c>
      <c r="N293" s="13">
        <v>2545128.4799999995</v>
      </c>
      <c r="O293" s="13">
        <v>2722031.98</v>
      </c>
      <c r="P293" s="13">
        <f>+O293-N293</f>
        <v>176903.50000000047</v>
      </c>
      <c r="R293" s="17">
        <v>11500000</v>
      </c>
      <c r="S293" s="18">
        <f>+O293/R293</f>
        <v>0.23669843304347826</v>
      </c>
    </row>
    <row r="294" spans="1:19" x14ac:dyDescent="0.3">
      <c r="F294" s="12" t="s">
        <v>393</v>
      </c>
      <c r="G294" s="13">
        <f t="shared" ref="G294:O294" si="31">SUM(G295:G303)</f>
        <v>4950337.1100000059</v>
      </c>
      <c r="H294" s="13">
        <f t="shared" si="31"/>
        <v>3771814.1700000032</v>
      </c>
      <c r="I294" s="13">
        <f t="shared" si="31"/>
        <v>4622911.0700000022</v>
      </c>
      <c r="J294" s="13">
        <f t="shared" si="31"/>
        <v>4969940.7</v>
      </c>
      <c r="K294" s="13">
        <f t="shared" si="31"/>
        <v>7177192.4200000009</v>
      </c>
      <c r="L294" s="13">
        <f t="shared" si="31"/>
        <v>7104717.7800000012</v>
      </c>
      <c r="M294" s="13">
        <f t="shared" si="31"/>
        <v>3084528.0300000003</v>
      </c>
      <c r="N294" s="13">
        <f t="shared" si="31"/>
        <v>2786581.6199999996</v>
      </c>
      <c r="O294" s="13">
        <f t="shared" si="31"/>
        <v>4036480.1499999994</v>
      </c>
      <c r="P294" s="13">
        <f t="shared" ref="P294:P318" si="32">+O294-N294</f>
        <v>1249898.5299999998</v>
      </c>
      <c r="R294" s="13">
        <f>SUM(R295:R303)</f>
        <v>16396315</v>
      </c>
      <c r="S294" s="18">
        <f t="shared" ref="S294:S318" si="33">+O294/R294</f>
        <v>0.24618215434382662</v>
      </c>
    </row>
    <row r="295" spans="1:19" x14ac:dyDescent="0.3">
      <c r="F295" s="14" t="s">
        <v>394</v>
      </c>
      <c r="G295" s="4">
        <v>1992472.2800000047</v>
      </c>
      <c r="H295" s="4">
        <v>1249507.2400000009</v>
      </c>
      <c r="I295" s="4">
        <v>1370447.5400000012</v>
      </c>
      <c r="J295" s="4">
        <v>510961.56999999989</v>
      </c>
      <c r="K295" s="4">
        <v>746030.76999999944</v>
      </c>
      <c r="L295" s="4">
        <v>1210876.8700000003</v>
      </c>
      <c r="M295" s="4">
        <v>402140.09999999992</v>
      </c>
      <c r="N295" s="4">
        <v>891407.99</v>
      </c>
      <c r="O295" s="4">
        <v>2006588.7899999993</v>
      </c>
      <c r="P295" s="4">
        <f t="shared" si="32"/>
        <v>1115180.7999999993</v>
      </c>
      <c r="R295" s="19">
        <v>4725180</v>
      </c>
      <c r="S295" s="20">
        <f t="shared" si="33"/>
        <v>0.42465869871623924</v>
      </c>
    </row>
    <row r="296" spans="1:19" x14ac:dyDescent="0.3">
      <c r="F296" s="14" t="s">
        <v>395</v>
      </c>
      <c r="G296" s="4">
        <v>61179.17</v>
      </c>
      <c r="H296" s="4">
        <v>146807.40000000002</v>
      </c>
      <c r="I296" s="4">
        <v>529628.55999999994</v>
      </c>
      <c r="J296" s="4">
        <v>1401747.8199999998</v>
      </c>
      <c r="K296" s="4">
        <v>1988486.02</v>
      </c>
      <c r="L296" s="4">
        <v>2565812.89</v>
      </c>
      <c r="M296" s="4">
        <v>1210865.81</v>
      </c>
      <c r="N296" s="4">
        <v>1192478.58</v>
      </c>
      <c r="O296" s="4">
        <v>1210968.4900000002</v>
      </c>
      <c r="P296" s="4">
        <f t="shared" si="32"/>
        <v>18489.910000000149</v>
      </c>
      <c r="R296" s="19">
        <v>3881123</v>
      </c>
      <c r="S296" s="20">
        <f t="shared" si="33"/>
        <v>0.31201497350122637</v>
      </c>
    </row>
    <row r="297" spans="1:19" x14ac:dyDescent="0.3">
      <c r="F297" s="14" t="s">
        <v>396</v>
      </c>
      <c r="G297" s="4">
        <v>1612003.2400000012</v>
      </c>
      <c r="H297" s="4">
        <v>1382139.2900000024</v>
      </c>
      <c r="I297" s="4">
        <v>1350125.1400000008</v>
      </c>
      <c r="J297" s="4">
        <v>1339785.6300000001</v>
      </c>
      <c r="K297" s="4">
        <v>1406218.620000001</v>
      </c>
      <c r="L297" s="4">
        <v>1453391.5899999999</v>
      </c>
      <c r="M297" s="4">
        <v>-4040.32</v>
      </c>
      <c r="N297" s="4">
        <v>65818.749999999985</v>
      </c>
      <c r="O297" s="4">
        <v>69464.98000000001</v>
      </c>
      <c r="P297" s="4">
        <f t="shared" si="32"/>
        <v>3646.230000000025</v>
      </c>
      <c r="R297" s="19">
        <v>1366105</v>
      </c>
      <c r="S297" s="20">
        <f t="shared" si="33"/>
        <v>5.084893181710045E-2</v>
      </c>
    </row>
    <row r="298" spans="1:19" x14ac:dyDescent="0.3">
      <c r="F298" s="14" t="s">
        <v>397</v>
      </c>
      <c r="G298" s="4">
        <v>773240</v>
      </c>
      <c r="H298" s="4">
        <v>349760</v>
      </c>
      <c r="I298" s="4">
        <v>430920</v>
      </c>
      <c r="J298" s="4">
        <v>583980</v>
      </c>
      <c r="K298" s="4">
        <v>1064907.73</v>
      </c>
      <c r="L298" s="4">
        <v>365109.24</v>
      </c>
      <c r="M298" s="4">
        <v>768550</v>
      </c>
      <c r="N298" s="4">
        <v>230754.33</v>
      </c>
      <c r="O298" s="4">
        <v>-138501.69</v>
      </c>
      <c r="P298" s="4">
        <f t="shared" si="32"/>
        <v>-369256.02</v>
      </c>
      <c r="R298" s="19">
        <v>3161500</v>
      </c>
      <c r="S298" s="20">
        <f t="shared" si="33"/>
        <v>-4.3808853392377035E-2</v>
      </c>
    </row>
    <row r="299" spans="1:19" x14ac:dyDescent="0.3">
      <c r="F299" s="14" t="s">
        <v>421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R299" s="19">
        <v>282957</v>
      </c>
      <c r="S299" s="20">
        <f t="shared" si="33"/>
        <v>0</v>
      </c>
    </row>
    <row r="300" spans="1:19" x14ac:dyDescent="0.3">
      <c r="F300" s="14" t="s">
        <v>398</v>
      </c>
      <c r="G300" s="4">
        <v>180000</v>
      </c>
      <c r="H300" s="4">
        <v>453265.51999999996</v>
      </c>
      <c r="I300" s="4">
        <v>423669.16</v>
      </c>
      <c r="J300" s="4">
        <v>608033</v>
      </c>
      <c r="K300" s="4">
        <v>444668.95</v>
      </c>
      <c r="L300" s="4">
        <v>373220.9</v>
      </c>
      <c r="M300" s="4">
        <v>306669.94</v>
      </c>
      <c r="N300" s="4">
        <v>4559.5099999999993</v>
      </c>
      <c r="O300" s="4">
        <v>406894.31</v>
      </c>
      <c r="P300" s="4">
        <f t="shared" si="32"/>
        <v>402334.8</v>
      </c>
      <c r="R300" s="19">
        <v>1005800</v>
      </c>
      <c r="S300" s="20">
        <f t="shared" si="33"/>
        <v>0.40454793199443229</v>
      </c>
    </row>
    <row r="301" spans="1:19" x14ac:dyDescent="0.3">
      <c r="F301" s="14" t="s">
        <v>399</v>
      </c>
      <c r="G301" s="4">
        <v>65789.34</v>
      </c>
      <c r="H301" s="4">
        <v>0</v>
      </c>
      <c r="I301" s="4">
        <v>0</v>
      </c>
      <c r="J301" s="4">
        <v>268333.32</v>
      </c>
      <c r="K301" s="4">
        <v>600000</v>
      </c>
      <c r="L301" s="4">
        <v>397260.4</v>
      </c>
      <c r="M301" s="4">
        <v>0</v>
      </c>
      <c r="N301" s="4">
        <v>0</v>
      </c>
      <c r="O301" s="4">
        <v>0</v>
      </c>
      <c r="P301" s="4">
        <f t="shared" si="32"/>
        <v>0</v>
      </c>
      <c r="R301" s="19">
        <v>395000</v>
      </c>
      <c r="S301" s="20">
        <f t="shared" si="33"/>
        <v>0</v>
      </c>
    </row>
    <row r="302" spans="1:19" x14ac:dyDescent="0.3">
      <c r="F302" s="14" t="s">
        <v>400</v>
      </c>
      <c r="G302" s="4">
        <v>49600</v>
      </c>
      <c r="H302" s="4">
        <v>-50145.990000000005</v>
      </c>
      <c r="I302" s="4">
        <v>134833.66999999998</v>
      </c>
      <c r="J302" s="4">
        <v>-3730.34</v>
      </c>
      <c r="K302" s="4">
        <v>76846.59</v>
      </c>
      <c r="L302" s="4">
        <v>263582.76</v>
      </c>
      <c r="M302" s="4">
        <v>56458.99</v>
      </c>
      <c r="N302" s="4">
        <v>357952.79000000004</v>
      </c>
      <c r="O302" s="4">
        <v>220003.55000000002</v>
      </c>
      <c r="P302" s="4">
        <f t="shared" si="32"/>
        <v>-137949.24000000002</v>
      </c>
      <c r="R302" s="19">
        <v>1481150</v>
      </c>
      <c r="S302" s="20">
        <f t="shared" si="33"/>
        <v>0.14853563109745807</v>
      </c>
    </row>
    <row r="303" spans="1:19" x14ac:dyDescent="0.3">
      <c r="F303" s="14" t="s">
        <v>401</v>
      </c>
      <c r="G303" s="4">
        <v>216053.08</v>
      </c>
      <c r="H303" s="4">
        <v>240480.71000000002</v>
      </c>
      <c r="I303" s="4">
        <v>383287</v>
      </c>
      <c r="J303" s="4">
        <v>260829.7</v>
      </c>
      <c r="K303" s="4">
        <v>850033.74</v>
      </c>
      <c r="L303" s="4">
        <v>475463.13</v>
      </c>
      <c r="M303" s="4">
        <v>343883.51</v>
      </c>
      <c r="N303" s="4">
        <v>43609.67</v>
      </c>
      <c r="O303" s="4">
        <v>261061.72</v>
      </c>
      <c r="P303" s="4">
        <f t="shared" si="32"/>
        <v>217452.05</v>
      </c>
      <c r="R303" s="19">
        <v>97500</v>
      </c>
      <c r="S303" s="20">
        <f t="shared" si="33"/>
        <v>2.6775561025641026</v>
      </c>
    </row>
    <row r="304" spans="1:19" x14ac:dyDescent="0.3">
      <c r="F304" s="12" t="s">
        <v>402</v>
      </c>
      <c r="G304" s="13">
        <f t="shared" ref="G304:O304" si="34">SUM(G305:G318)</f>
        <v>12043394.970000001</v>
      </c>
      <c r="H304" s="13">
        <f t="shared" si="34"/>
        <v>9378581.5399999991</v>
      </c>
      <c r="I304" s="13">
        <f t="shared" si="34"/>
        <v>9408657.049999997</v>
      </c>
      <c r="J304" s="13">
        <f t="shared" si="34"/>
        <v>11727817.129999999</v>
      </c>
      <c r="K304" s="13">
        <f t="shared" si="34"/>
        <v>8504179.8599999975</v>
      </c>
      <c r="L304" s="13">
        <f t="shared" si="34"/>
        <v>12588868.789999999</v>
      </c>
      <c r="M304" s="13">
        <f t="shared" si="34"/>
        <v>6706023.3200000022</v>
      </c>
      <c r="N304" s="13">
        <f t="shared" si="34"/>
        <v>10978542.040000001</v>
      </c>
      <c r="O304" s="13">
        <f t="shared" si="34"/>
        <v>12043485.799999997</v>
      </c>
      <c r="P304" s="13">
        <f t="shared" si="32"/>
        <v>1064943.7599999961</v>
      </c>
      <c r="R304" s="13">
        <f>SUM(R305:R318)</f>
        <v>58742945</v>
      </c>
      <c r="S304" s="18">
        <f t="shared" si="33"/>
        <v>0.20502012284198548</v>
      </c>
    </row>
    <row r="305" spans="6:19" x14ac:dyDescent="0.3">
      <c r="F305" s="14" t="s">
        <v>403</v>
      </c>
      <c r="G305" s="4">
        <v>5793809.8099999987</v>
      </c>
      <c r="H305" s="4">
        <v>4541375.6800000006</v>
      </c>
      <c r="I305" s="4">
        <v>4308388.1099999985</v>
      </c>
      <c r="J305" s="4">
        <v>6149739.4499999993</v>
      </c>
      <c r="K305" s="4">
        <v>5959941.9799999986</v>
      </c>
      <c r="L305" s="4">
        <v>5297323.709999999</v>
      </c>
      <c r="M305" s="4">
        <v>6210.9500000000007</v>
      </c>
      <c r="N305" s="4">
        <v>1766981.3</v>
      </c>
      <c r="O305" s="4">
        <v>2631244.1399999987</v>
      </c>
      <c r="P305" s="4">
        <f t="shared" si="32"/>
        <v>864262.83999999869</v>
      </c>
      <c r="R305" s="19">
        <v>23686647</v>
      </c>
      <c r="S305" s="20">
        <f t="shared" si="33"/>
        <v>0.11108554705948878</v>
      </c>
    </row>
    <row r="306" spans="6:19" x14ac:dyDescent="0.3">
      <c r="F306" s="14" t="s">
        <v>404</v>
      </c>
      <c r="G306" s="4">
        <v>4284030.58</v>
      </c>
      <c r="H306" s="4">
        <v>2210063.48</v>
      </c>
      <c r="I306" s="4">
        <v>3242061.95</v>
      </c>
      <c r="J306" s="4">
        <v>3691888.07</v>
      </c>
      <c r="K306" s="4">
        <v>1025455.0999999999</v>
      </c>
      <c r="L306" s="4">
        <v>3908744.26</v>
      </c>
      <c r="M306" s="4">
        <v>5081039.4600000009</v>
      </c>
      <c r="N306" s="4">
        <v>4175381.0000000005</v>
      </c>
      <c r="O306" s="4">
        <v>5783580.5399999991</v>
      </c>
      <c r="P306" s="4">
        <f t="shared" si="32"/>
        <v>1608199.5399999986</v>
      </c>
      <c r="R306" s="19">
        <v>18000000</v>
      </c>
      <c r="S306" s="20">
        <f t="shared" si="33"/>
        <v>0.32131002999999997</v>
      </c>
    </row>
    <row r="307" spans="6:19" x14ac:dyDescent="0.3">
      <c r="F307" s="14" t="s">
        <v>405</v>
      </c>
      <c r="G307" s="4">
        <v>1833.33</v>
      </c>
      <c r="H307" s="4">
        <v>0</v>
      </c>
      <c r="I307" s="4">
        <v>29357.129999999997</v>
      </c>
      <c r="J307" s="4">
        <v>191927.98</v>
      </c>
      <c r="K307" s="4">
        <v>172712.4</v>
      </c>
      <c r="L307" s="4">
        <v>3783.44</v>
      </c>
      <c r="M307" s="4">
        <v>114950</v>
      </c>
      <c r="N307" s="4">
        <v>45411.91</v>
      </c>
      <c r="O307" s="4">
        <v>48557.120000000003</v>
      </c>
      <c r="P307" s="4">
        <f t="shared" si="32"/>
        <v>3145.2099999999991</v>
      </c>
      <c r="R307" s="19">
        <v>0</v>
      </c>
      <c r="S307" s="21" t="s">
        <v>419</v>
      </c>
    </row>
    <row r="308" spans="6:19" x14ac:dyDescent="0.3">
      <c r="F308" s="14" t="s">
        <v>406</v>
      </c>
      <c r="G308" s="4">
        <v>113820.91</v>
      </c>
      <c r="H308" s="4">
        <v>-11006.32</v>
      </c>
      <c r="I308" s="4">
        <v>0</v>
      </c>
      <c r="J308" s="4">
        <v>0</v>
      </c>
      <c r="K308" s="4">
        <v>17780.87</v>
      </c>
      <c r="L308" s="4">
        <v>-25652</v>
      </c>
      <c r="M308" s="4">
        <v>0</v>
      </c>
      <c r="N308" s="4">
        <v>0</v>
      </c>
      <c r="O308" s="4">
        <v>0</v>
      </c>
      <c r="P308" s="4">
        <f t="shared" si="32"/>
        <v>0</v>
      </c>
      <c r="R308" s="19">
        <v>0</v>
      </c>
      <c r="S308" s="21" t="s">
        <v>419</v>
      </c>
    </row>
    <row r="309" spans="6:19" x14ac:dyDescent="0.3">
      <c r="F309" s="14" t="s">
        <v>407</v>
      </c>
      <c r="G309" s="4">
        <v>64500</v>
      </c>
      <c r="H309" s="4">
        <v>120893.75</v>
      </c>
      <c r="I309" s="4">
        <v>285060</v>
      </c>
      <c r="J309" s="4">
        <v>0</v>
      </c>
      <c r="K309" s="4">
        <v>234750</v>
      </c>
      <c r="L309" s="4">
        <v>189165.88</v>
      </c>
      <c r="M309" s="4">
        <v>-2.8</v>
      </c>
      <c r="N309" s="4">
        <v>-206.44000000000003</v>
      </c>
      <c r="O309" s="4">
        <v>0</v>
      </c>
      <c r="P309" s="4">
        <f t="shared" si="32"/>
        <v>206.44000000000003</v>
      </c>
      <c r="R309" s="19">
        <v>250000</v>
      </c>
      <c r="S309" s="20">
        <f t="shared" si="33"/>
        <v>0</v>
      </c>
    </row>
    <row r="310" spans="6:19" x14ac:dyDescent="0.3">
      <c r="F310" s="14" t="s">
        <v>416</v>
      </c>
      <c r="G310" s="4">
        <v>285222.13999999996</v>
      </c>
      <c r="H310" s="4">
        <v>214633.96999999997</v>
      </c>
      <c r="I310" s="4">
        <v>80824.989999999991</v>
      </c>
      <c r="J310" s="4">
        <v>44423.199999999997</v>
      </c>
      <c r="K310" s="4">
        <v>81653.83</v>
      </c>
      <c r="L310" s="4">
        <v>154332.93</v>
      </c>
      <c r="M310" s="4">
        <v>45105.440000000002</v>
      </c>
      <c r="N310" s="4">
        <v>91179.63</v>
      </c>
      <c r="O310" s="4">
        <v>90563.12</v>
      </c>
      <c r="P310" s="4">
        <f>+O310-N310</f>
        <v>-616.51000000000931</v>
      </c>
      <c r="R310" s="19">
        <v>340200</v>
      </c>
      <c r="S310" s="20">
        <f t="shared" si="33"/>
        <v>0.26620552616108173</v>
      </c>
    </row>
    <row r="311" spans="6:19" x14ac:dyDescent="0.3">
      <c r="F311" s="14" t="s">
        <v>408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479172.83</v>
      </c>
      <c r="O311" s="4">
        <v>285460.07</v>
      </c>
      <c r="P311" s="4">
        <f t="shared" si="32"/>
        <v>-193712.76</v>
      </c>
      <c r="R311" s="19">
        <v>2680000</v>
      </c>
      <c r="S311" s="20">
        <f t="shared" si="33"/>
        <v>0.10651495149253731</v>
      </c>
    </row>
    <row r="312" spans="6:19" x14ac:dyDescent="0.3">
      <c r="F312" s="14" t="s">
        <v>409</v>
      </c>
      <c r="G312" s="4">
        <v>0</v>
      </c>
      <c r="H312" s="4">
        <v>732739.2200000002</v>
      </c>
      <c r="I312" s="4">
        <v>764753.73999999987</v>
      </c>
      <c r="J312" s="4">
        <v>0</v>
      </c>
      <c r="K312" s="4">
        <v>0</v>
      </c>
      <c r="L312" s="4">
        <v>0</v>
      </c>
      <c r="M312" s="4">
        <v>24152.34</v>
      </c>
      <c r="N312" s="4">
        <v>0</v>
      </c>
      <c r="O312" s="4">
        <v>0</v>
      </c>
      <c r="P312" s="4">
        <f t="shared" si="32"/>
        <v>0</v>
      </c>
      <c r="R312" s="19">
        <v>1481167</v>
      </c>
      <c r="S312" s="20">
        <f t="shared" si="33"/>
        <v>0</v>
      </c>
    </row>
    <row r="313" spans="6:19" x14ac:dyDescent="0.3">
      <c r="F313" s="14" t="s">
        <v>410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2571255.7399999998</v>
      </c>
      <c r="O313" s="4">
        <v>0</v>
      </c>
      <c r="P313" s="4">
        <f t="shared" si="32"/>
        <v>-2571255.7399999998</v>
      </c>
      <c r="R313" s="19">
        <v>2308909</v>
      </c>
      <c r="S313" s="20">
        <f t="shared" si="33"/>
        <v>0</v>
      </c>
    </row>
    <row r="314" spans="6:19" x14ac:dyDescent="0.3">
      <c r="F314" s="14" t="s">
        <v>411</v>
      </c>
      <c r="G314" s="4">
        <v>0</v>
      </c>
      <c r="H314" s="4">
        <v>-140757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f t="shared" si="32"/>
        <v>0</v>
      </c>
      <c r="R314" s="19">
        <v>0</v>
      </c>
      <c r="S314" s="21" t="s">
        <v>419</v>
      </c>
    </row>
    <row r="315" spans="6:19" x14ac:dyDescent="0.3">
      <c r="F315" s="14" t="s">
        <v>412</v>
      </c>
      <c r="G315" s="4">
        <v>500000</v>
      </c>
      <c r="H315" s="4">
        <v>500000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569400</v>
      </c>
      <c r="P315" s="4">
        <f t="shared" si="32"/>
        <v>569400</v>
      </c>
      <c r="R315" s="19">
        <v>0</v>
      </c>
      <c r="S315" s="21" t="s">
        <v>419</v>
      </c>
    </row>
    <row r="316" spans="6:19" x14ac:dyDescent="0.3">
      <c r="F316" s="14" t="s">
        <v>413</v>
      </c>
      <c r="G316" s="4">
        <v>0</v>
      </c>
      <c r="H316" s="4">
        <v>0</v>
      </c>
      <c r="I316" s="4">
        <v>70000</v>
      </c>
      <c r="J316" s="4">
        <v>42500</v>
      </c>
      <c r="K316" s="4">
        <v>18289.46</v>
      </c>
      <c r="L316" s="4">
        <v>129557.45</v>
      </c>
      <c r="M316" s="4">
        <v>-35820</v>
      </c>
      <c r="N316" s="4">
        <v>0</v>
      </c>
      <c r="O316" s="4">
        <v>66006.09</v>
      </c>
      <c r="P316" s="4">
        <f t="shared" si="32"/>
        <v>66006.09</v>
      </c>
      <c r="R316" s="19">
        <v>1245242</v>
      </c>
      <c r="S316" s="20">
        <f t="shared" si="33"/>
        <v>5.3006636461025242E-2</v>
      </c>
    </row>
    <row r="317" spans="6:19" x14ac:dyDescent="0.3">
      <c r="F317" s="14" t="s">
        <v>414</v>
      </c>
      <c r="G317" s="4">
        <v>436785.64000000007</v>
      </c>
      <c r="H317" s="4">
        <v>652528.57999999996</v>
      </c>
      <c r="I317" s="4">
        <v>353853.76</v>
      </c>
      <c r="J317" s="4">
        <v>909088.62</v>
      </c>
      <c r="K317" s="4">
        <v>562711.30999999994</v>
      </c>
      <c r="L317" s="4">
        <v>2121165.7800000003</v>
      </c>
      <c r="M317" s="4">
        <v>743343.2799999998</v>
      </c>
      <c r="N317" s="4">
        <v>1395524.8500000003</v>
      </c>
      <c r="O317" s="4">
        <v>2089388.83</v>
      </c>
      <c r="P317" s="4">
        <f t="shared" si="32"/>
        <v>693863.97999999975</v>
      </c>
      <c r="R317" s="19">
        <v>2633180</v>
      </c>
      <c r="S317" s="20">
        <f t="shared" si="33"/>
        <v>0.79348499912653148</v>
      </c>
    </row>
    <row r="318" spans="6:19" x14ac:dyDescent="0.3">
      <c r="F318" s="14" t="s">
        <v>415</v>
      </c>
      <c r="G318" s="4">
        <v>563392.55999999994</v>
      </c>
      <c r="H318" s="4">
        <v>558110.18000000005</v>
      </c>
      <c r="I318" s="4">
        <v>274357.37</v>
      </c>
      <c r="J318" s="4">
        <v>698249.80999999994</v>
      </c>
      <c r="K318" s="4">
        <v>430884.91</v>
      </c>
      <c r="L318" s="4">
        <v>810447.34</v>
      </c>
      <c r="M318" s="4">
        <v>727044.64999999991</v>
      </c>
      <c r="N318" s="4">
        <v>453841.22000000003</v>
      </c>
      <c r="O318" s="4">
        <v>479285.88999999996</v>
      </c>
      <c r="P318" s="4">
        <f t="shared" si="32"/>
        <v>25444.669999999925</v>
      </c>
      <c r="R318" s="19">
        <v>6117600</v>
      </c>
      <c r="S318" s="20">
        <f t="shared" si="33"/>
        <v>7.8345411599319986E-2</v>
      </c>
    </row>
    <row r="319" spans="6:19" x14ac:dyDescent="0.3">
      <c r="F319" s="15" t="s">
        <v>13</v>
      </c>
      <c r="G319" s="9">
        <f t="shared" ref="G319:P319" si="35">+G293+G294+G304</f>
        <v>20044150.310000006</v>
      </c>
      <c r="H319" s="9">
        <f t="shared" si="35"/>
        <v>16939312.040000003</v>
      </c>
      <c r="I319" s="9">
        <f t="shared" si="35"/>
        <v>16947411.919999998</v>
      </c>
      <c r="J319" s="9">
        <f t="shared" si="35"/>
        <v>18618383.030000001</v>
      </c>
      <c r="K319" s="9">
        <f t="shared" si="35"/>
        <v>18181976.469999999</v>
      </c>
      <c r="L319" s="9">
        <f t="shared" si="35"/>
        <v>22026027.539999999</v>
      </c>
      <c r="M319" s="9">
        <f t="shared" si="35"/>
        <v>12105528.980000002</v>
      </c>
      <c r="N319" s="9">
        <f t="shared" si="35"/>
        <v>16310252.140000001</v>
      </c>
      <c r="O319" s="9">
        <f t="shared" si="35"/>
        <v>18801997.929999996</v>
      </c>
      <c r="P319" s="9">
        <f t="shared" si="35"/>
        <v>2491745.7899999963</v>
      </c>
      <c r="R319" s="22">
        <v>78513595</v>
      </c>
      <c r="S319" s="23">
        <f>+O319/R319</f>
        <v>0.23947442388799031</v>
      </c>
    </row>
  </sheetData>
  <autoFilter ref="A3:P289" xr:uid="{C3C322A6-6A37-405D-8F98-9CD98296B9B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A970-EEAF-4F1A-A705-CE76010E210F}">
  <dimension ref="A2:X39"/>
  <sheetViews>
    <sheetView tabSelected="1" topLeftCell="A4" workbookViewId="0">
      <selection activeCell="A24" sqref="A24:XFD25"/>
    </sheetView>
  </sheetViews>
  <sheetFormatPr defaultColWidth="8.77734375" defaultRowHeight="14.4" x14ac:dyDescent="0.3"/>
  <cols>
    <col min="1" max="1" width="46" bestFit="1" customWidth="1"/>
    <col min="2" max="10" width="12.6640625" bestFit="1" customWidth="1"/>
    <col min="11" max="11" width="13.77734375" customWidth="1"/>
    <col min="12" max="13" width="12.6640625" bestFit="1" customWidth="1"/>
    <col min="14" max="14" width="12.44140625" customWidth="1"/>
    <col min="15" max="16" width="12.6640625" bestFit="1" customWidth="1"/>
    <col min="17" max="17" width="12.44140625" customWidth="1"/>
    <col min="18" max="19" width="12.6640625" bestFit="1" customWidth="1"/>
    <col min="20" max="20" width="12.44140625" customWidth="1"/>
    <col min="21" max="22" width="12.6640625" bestFit="1" customWidth="1"/>
    <col min="23" max="23" width="12.33203125" customWidth="1"/>
    <col min="24" max="24" width="12.6640625" bestFit="1" customWidth="1"/>
  </cols>
  <sheetData>
    <row r="2" spans="1:24" ht="15" thickBot="1" x14ac:dyDescent="0.35"/>
    <row r="3" spans="1:24" x14ac:dyDescent="0.3">
      <c r="A3" s="97" t="s">
        <v>417</v>
      </c>
      <c r="B3" s="99">
        <v>2018</v>
      </c>
      <c r="C3" s="95"/>
      <c r="D3" s="99">
        <v>2019</v>
      </c>
      <c r="E3" s="95"/>
      <c r="F3" s="93" t="s">
        <v>6</v>
      </c>
      <c r="G3" s="100"/>
      <c r="H3" s="93" t="s">
        <v>7</v>
      </c>
      <c r="I3" s="94"/>
      <c r="J3" s="95"/>
      <c r="K3" s="96" t="s">
        <v>8</v>
      </c>
      <c r="L3" s="94"/>
      <c r="M3" s="94"/>
      <c r="N3" s="93" t="s">
        <v>9</v>
      </c>
      <c r="O3" s="94"/>
      <c r="P3" s="95"/>
      <c r="Q3" s="93" t="s">
        <v>10</v>
      </c>
      <c r="R3" s="94"/>
      <c r="S3" s="95"/>
      <c r="T3" s="93" t="s">
        <v>11</v>
      </c>
      <c r="U3" s="94"/>
      <c r="V3" s="95"/>
      <c r="W3" s="93" t="s">
        <v>12</v>
      </c>
      <c r="X3" s="95"/>
    </row>
    <row r="4" spans="1:24" ht="29.4" thickBot="1" x14ac:dyDescent="0.35">
      <c r="A4" s="98"/>
      <c r="B4" s="24" t="s">
        <v>423</v>
      </c>
      <c r="C4" s="25" t="s">
        <v>424</v>
      </c>
      <c r="D4" s="24" t="s">
        <v>425</v>
      </c>
      <c r="E4" s="25" t="s">
        <v>426</v>
      </c>
      <c r="F4" s="24" t="s">
        <v>427</v>
      </c>
      <c r="G4" s="25" t="s">
        <v>428</v>
      </c>
      <c r="H4" s="24" t="s">
        <v>429</v>
      </c>
      <c r="I4" s="26" t="s">
        <v>430</v>
      </c>
      <c r="J4" s="25" t="s">
        <v>431</v>
      </c>
      <c r="K4" s="24" t="s">
        <v>432</v>
      </c>
      <c r="L4" s="26" t="s">
        <v>433</v>
      </c>
      <c r="M4" s="27" t="s">
        <v>434</v>
      </c>
      <c r="N4" s="24" t="s">
        <v>435</v>
      </c>
      <c r="O4" s="28" t="s">
        <v>436</v>
      </c>
      <c r="P4" s="25" t="s">
        <v>437</v>
      </c>
      <c r="Q4" s="24" t="s">
        <v>438</v>
      </c>
      <c r="R4" s="28" t="s">
        <v>439</v>
      </c>
      <c r="S4" s="25" t="s">
        <v>440</v>
      </c>
      <c r="T4" s="24" t="s">
        <v>418</v>
      </c>
      <c r="U4" s="28" t="s">
        <v>441</v>
      </c>
      <c r="V4" s="25" t="s">
        <v>442</v>
      </c>
      <c r="W4" s="24" t="s">
        <v>422</v>
      </c>
      <c r="X4" s="84" t="s">
        <v>443</v>
      </c>
    </row>
    <row r="5" spans="1:24" x14ac:dyDescent="0.3">
      <c r="A5" s="29" t="s">
        <v>452</v>
      </c>
      <c r="B5" s="30">
        <v>3050418.23</v>
      </c>
      <c r="C5" s="31">
        <v>14482627.219999999</v>
      </c>
      <c r="D5" s="30">
        <v>3788916.330000001</v>
      </c>
      <c r="E5" s="31">
        <v>15133832.870000005</v>
      </c>
      <c r="F5" s="30">
        <v>2915843.7999999993</v>
      </c>
      <c r="G5" s="31">
        <v>11036421.420000002</v>
      </c>
      <c r="H5" s="32">
        <v>10833369</v>
      </c>
      <c r="I5" s="33">
        <v>1920625.2000000002</v>
      </c>
      <c r="J5" s="31">
        <v>11319327.35</v>
      </c>
      <c r="K5" s="32">
        <v>13000000</v>
      </c>
      <c r="L5" s="33">
        <v>2500604.1900000004</v>
      </c>
      <c r="M5" s="31">
        <v>10199482.84</v>
      </c>
      <c r="N5" s="32">
        <v>13000000</v>
      </c>
      <c r="O5" s="34">
        <v>2332440.9700000002</v>
      </c>
      <c r="P5" s="31">
        <v>10571436.890000001</v>
      </c>
      <c r="Q5" s="35">
        <v>13000000</v>
      </c>
      <c r="R5" s="34">
        <v>2314977.63</v>
      </c>
      <c r="S5" s="31">
        <v>12466755.23</v>
      </c>
      <c r="T5" s="35">
        <v>11500000</v>
      </c>
      <c r="U5" s="34">
        <v>2545128.4800000004</v>
      </c>
      <c r="V5" s="31">
        <v>12298354.820000002</v>
      </c>
      <c r="W5" s="35">
        <v>11500000</v>
      </c>
      <c r="X5" s="73">
        <v>2722031.98</v>
      </c>
    </row>
    <row r="6" spans="1:24" x14ac:dyDescent="0.3">
      <c r="A6" s="36" t="s">
        <v>393</v>
      </c>
      <c r="B6" s="37">
        <f>SUM(B7:B21)</f>
        <v>4950337.1100000059</v>
      </c>
      <c r="C6" s="38">
        <f t="shared" ref="C6:X6" si="0">SUM(C7:C21)</f>
        <v>8974031.3700000066</v>
      </c>
      <c r="D6" s="37">
        <f t="shared" si="0"/>
        <v>3771814.1700000032</v>
      </c>
      <c r="E6" s="38">
        <f t="shared" si="0"/>
        <v>8034862.2300000032</v>
      </c>
      <c r="F6" s="37">
        <f t="shared" si="0"/>
        <v>4622911.0700000022</v>
      </c>
      <c r="G6" s="38">
        <f t="shared" si="0"/>
        <v>8332707.5700000031</v>
      </c>
      <c r="H6" s="39">
        <f t="shared" si="0"/>
        <v>10004391</v>
      </c>
      <c r="I6" s="40">
        <f t="shared" si="0"/>
        <v>4969940.7</v>
      </c>
      <c r="J6" s="38">
        <f t="shared" si="0"/>
        <v>14776294.42</v>
      </c>
      <c r="K6" s="39">
        <f t="shared" si="0"/>
        <v>14910999.128000012</v>
      </c>
      <c r="L6" s="40">
        <f t="shared" si="0"/>
        <v>7177192.4200000009</v>
      </c>
      <c r="M6" s="38">
        <f t="shared" si="0"/>
        <v>17757317.270000003</v>
      </c>
      <c r="N6" s="39">
        <f t="shared" si="0"/>
        <v>18519179.12800001</v>
      </c>
      <c r="O6" s="41">
        <f t="shared" si="0"/>
        <v>7104717.7800000012</v>
      </c>
      <c r="P6" s="38">
        <f t="shared" si="0"/>
        <v>18484091.129999999</v>
      </c>
      <c r="Q6" s="42">
        <f t="shared" si="0"/>
        <v>19791533</v>
      </c>
      <c r="R6" s="41">
        <f t="shared" si="0"/>
        <v>3084528.0300000003</v>
      </c>
      <c r="S6" s="43">
        <f t="shared" si="0"/>
        <v>13287444.539999999</v>
      </c>
      <c r="T6" s="42">
        <f t="shared" si="0"/>
        <v>15878829</v>
      </c>
      <c r="U6" s="41">
        <f t="shared" si="0"/>
        <v>2786581.6199999996</v>
      </c>
      <c r="V6" s="43">
        <f t="shared" si="0"/>
        <v>16546967.219999991</v>
      </c>
      <c r="W6" s="42">
        <f t="shared" si="0"/>
        <v>16396315</v>
      </c>
      <c r="X6" s="43">
        <f t="shared" si="0"/>
        <v>4036480.1499999994</v>
      </c>
    </row>
    <row r="7" spans="1:24" x14ac:dyDescent="0.3">
      <c r="A7" s="44" t="s">
        <v>394</v>
      </c>
      <c r="B7" s="45">
        <v>1992472.2800000047</v>
      </c>
      <c r="C7" s="46">
        <v>2199403.8300000047</v>
      </c>
      <c r="D7" s="45">
        <v>1249507.2400000009</v>
      </c>
      <c r="E7" s="46">
        <v>1758361.7000000002</v>
      </c>
      <c r="F7" s="45">
        <v>1370447.5400000012</v>
      </c>
      <c r="G7" s="46">
        <v>3075978.5100000021</v>
      </c>
      <c r="H7" s="47">
        <v>3094494</v>
      </c>
      <c r="I7" s="48">
        <v>510961.56999999989</v>
      </c>
      <c r="J7" s="46">
        <v>3315414.7199999997</v>
      </c>
      <c r="K7" s="47">
        <v>2555364.4400000032</v>
      </c>
      <c r="L7" s="48">
        <v>746030.76999999944</v>
      </c>
      <c r="M7" s="46">
        <v>2480531.7500000005</v>
      </c>
      <c r="N7" s="47">
        <v>2555364.4400000032</v>
      </c>
      <c r="O7" s="49">
        <v>1210876.8700000003</v>
      </c>
      <c r="P7" s="46">
        <v>3118779.790000001</v>
      </c>
      <c r="Q7" s="50">
        <v>3278120</v>
      </c>
      <c r="R7" s="49">
        <v>402140.09999999992</v>
      </c>
      <c r="S7" s="46">
        <v>3795367.9800000014</v>
      </c>
      <c r="T7" s="50">
        <v>5514086</v>
      </c>
      <c r="U7" s="49">
        <v>891407.99</v>
      </c>
      <c r="V7" s="46">
        <v>4615307.6799999941</v>
      </c>
      <c r="W7" s="50">
        <v>4725180</v>
      </c>
      <c r="X7" s="85">
        <v>2006588.7899999996</v>
      </c>
    </row>
    <row r="8" spans="1:24" x14ac:dyDescent="0.3">
      <c r="A8" s="51" t="s">
        <v>395</v>
      </c>
      <c r="B8" s="52">
        <v>61179.17</v>
      </c>
      <c r="C8" s="53">
        <v>2667514.11</v>
      </c>
      <c r="D8" s="52">
        <v>146807.40000000002</v>
      </c>
      <c r="E8" s="53">
        <v>2246551.4500000002</v>
      </c>
      <c r="F8" s="52">
        <v>529628.55999999994</v>
      </c>
      <c r="G8" s="53">
        <v>1204788.1400000001</v>
      </c>
      <c r="H8" s="54">
        <v>2247300</v>
      </c>
      <c r="I8" s="55">
        <v>1401747.82</v>
      </c>
      <c r="J8" s="53">
        <v>1993773.8000000003</v>
      </c>
      <c r="K8" s="54">
        <v>2213914.4240000052</v>
      </c>
      <c r="L8" s="55">
        <v>1988486.02</v>
      </c>
      <c r="M8" s="53">
        <v>2044002.04</v>
      </c>
      <c r="N8" s="54">
        <v>2213914.4240000052</v>
      </c>
      <c r="O8" s="56">
        <v>2565812.89</v>
      </c>
      <c r="P8" s="53">
        <v>3213372.37</v>
      </c>
      <c r="Q8" s="57">
        <v>2090950</v>
      </c>
      <c r="R8" s="56">
        <v>1210865.81</v>
      </c>
      <c r="S8" s="53">
        <v>4028299.0500000003</v>
      </c>
      <c r="T8" s="57">
        <v>3841710</v>
      </c>
      <c r="U8" s="56">
        <v>1192478.58</v>
      </c>
      <c r="V8" s="53">
        <v>5183040.04</v>
      </c>
      <c r="W8" s="57">
        <v>3881123</v>
      </c>
      <c r="X8" s="86">
        <v>1210968.4900000002</v>
      </c>
    </row>
    <row r="9" spans="1:24" x14ac:dyDescent="0.3">
      <c r="A9" s="51" t="s">
        <v>396</v>
      </c>
      <c r="B9" s="52">
        <v>1612003.2400000012</v>
      </c>
      <c r="C9" s="53">
        <v>1633341.7100000011</v>
      </c>
      <c r="D9" s="52">
        <v>1382139.2900000024</v>
      </c>
      <c r="E9" s="53">
        <v>1460368.4800000023</v>
      </c>
      <c r="F9" s="52">
        <v>1350125.1400000008</v>
      </c>
      <c r="G9" s="53">
        <v>1345239.7300000007</v>
      </c>
      <c r="H9" s="54">
        <v>1827234</v>
      </c>
      <c r="I9" s="55">
        <v>1339785.6300000001</v>
      </c>
      <c r="J9" s="53">
        <v>1290102.94</v>
      </c>
      <c r="K9" s="54">
        <v>1781510.8640000024</v>
      </c>
      <c r="L9" s="55">
        <v>1406218.620000001</v>
      </c>
      <c r="M9" s="53">
        <v>1199141.6800000009</v>
      </c>
      <c r="N9" s="54">
        <v>1781510.8640000024</v>
      </c>
      <c r="O9" s="56">
        <v>1453391.5899999999</v>
      </c>
      <c r="P9" s="53">
        <v>1264896.5399999998</v>
      </c>
      <c r="Q9" s="57">
        <v>1819456</v>
      </c>
      <c r="R9" s="56">
        <v>-4040.32</v>
      </c>
      <c r="S9" s="53">
        <v>1342825.0399999993</v>
      </c>
      <c r="T9" s="57">
        <v>609991</v>
      </c>
      <c r="U9" s="56">
        <v>65818.749999999985</v>
      </c>
      <c r="V9" s="53">
        <v>1547116.5399999998</v>
      </c>
      <c r="W9" s="57">
        <v>1366105</v>
      </c>
      <c r="X9" s="86">
        <v>69464.98000000001</v>
      </c>
    </row>
    <row r="10" spans="1:24" x14ac:dyDescent="0.3">
      <c r="A10" s="58" t="s">
        <v>421</v>
      </c>
      <c r="B10" s="59">
        <v>0</v>
      </c>
      <c r="C10" s="60">
        <v>64651.5</v>
      </c>
      <c r="D10" s="59">
        <v>0</v>
      </c>
      <c r="E10" s="60">
        <v>69085.900000000009</v>
      </c>
      <c r="F10" s="59">
        <v>0</v>
      </c>
      <c r="G10" s="60">
        <v>70619.839999999997</v>
      </c>
      <c r="H10" s="90">
        <v>845456</v>
      </c>
      <c r="I10" s="61">
        <v>0</v>
      </c>
      <c r="J10" s="60">
        <v>59046.079999999987</v>
      </c>
      <c r="K10" s="62">
        <v>78255</v>
      </c>
      <c r="L10" s="61">
        <v>0</v>
      </c>
      <c r="M10" s="60">
        <v>67815.199999999983</v>
      </c>
      <c r="N10" s="62">
        <v>78255</v>
      </c>
      <c r="O10" s="63">
        <v>0</v>
      </c>
      <c r="P10" s="60">
        <v>130635.01000000001</v>
      </c>
      <c r="Q10" s="64">
        <v>261243</v>
      </c>
      <c r="R10" s="63">
        <v>0</v>
      </c>
      <c r="S10" s="60">
        <v>236935.86</v>
      </c>
      <c r="T10" s="64">
        <v>706561</v>
      </c>
      <c r="U10" s="63">
        <v>0</v>
      </c>
      <c r="V10" s="60">
        <v>247196.76</v>
      </c>
      <c r="W10" s="64">
        <v>282957</v>
      </c>
      <c r="X10" s="87">
        <v>0</v>
      </c>
    </row>
    <row r="11" spans="1:24" x14ac:dyDescent="0.3">
      <c r="A11" s="51" t="s">
        <v>397</v>
      </c>
      <c r="B11" s="52">
        <v>773240</v>
      </c>
      <c r="C11" s="53">
        <v>669599.94999999995</v>
      </c>
      <c r="D11" s="52">
        <v>349760</v>
      </c>
      <c r="E11" s="53">
        <v>612080</v>
      </c>
      <c r="F11" s="52">
        <v>430920</v>
      </c>
      <c r="G11" s="53">
        <v>611354.81999999995</v>
      </c>
      <c r="H11" s="92"/>
      <c r="I11" s="55">
        <v>583980</v>
      </c>
      <c r="J11" s="53">
        <v>632701.56999999995</v>
      </c>
      <c r="K11" s="54">
        <v>780350</v>
      </c>
      <c r="L11" s="55">
        <v>1064907.73</v>
      </c>
      <c r="M11" s="53">
        <v>2218544.25</v>
      </c>
      <c r="N11" s="54">
        <v>1911530</v>
      </c>
      <c r="O11" s="56">
        <v>365109.24</v>
      </c>
      <c r="P11" s="53">
        <v>2169292.48</v>
      </c>
      <c r="Q11" s="57">
        <v>2201030</v>
      </c>
      <c r="R11" s="56">
        <v>768550</v>
      </c>
      <c r="S11" s="53">
        <v>1649513.79</v>
      </c>
      <c r="T11" s="57">
        <v>2800885</v>
      </c>
      <c r="U11" s="56">
        <v>230754.33</v>
      </c>
      <c r="V11" s="53">
        <v>2388196.21</v>
      </c>
      <c r="W11" s="57">
        <v>3161500</v>
      </c>
      <c r="X11" s="86">
        <v>-138501.69</v>
      </c>
    </row>
    <row r="12" spans="1:24" x14ac:dyDescent="0.3">
      <c r="A12" s="51" t="s">
        <v>398</v>
      </c>
      <c r="B12" s="52">
        <v>180000</v>
      </c>
      <c r="C12" s="53">
        <v>597523.34</v>
      </c>
      <c r="D12" s="52">
        <v>453265.51999999996</v>
      </c>
      <c r="E12" s="53">
        <v>625455.56000000006</v>
      </c>
      <c r="F12" s="52">
        <v>423669.16</v>
      </c>
      <c r="G12" s="53">
        <v>480358.64</v>
      </c>
      <c r="H12" s="54">
        <v>489000</v>
      </c>
      <c r="I12" s="55">
        <v>608033</v>
      </c>
      <c r="J12" s="53">
        <v>566563.17999999993</v>
      </c>
      <c r="K12" s="54">
        <v>356000</v>
      </c>
      <c r="L12" s="55">
        <v>444668.95</v>
      </c>
      <c r="M12" s="53">
        <v>1178218.9700000002</v>
      </c>
      <c r="N12" s="54">
        <v>527000</v>
      </c>
      <c r="O12" s="56">
        <v>373220.9</v>
      </c>
      <c r="P12" s="53">
        <v>688558.70000000007</v>
      </c>
      <c r="Q12" s="57">
        <v>1126000</v>
      </c>
      <c r="R12" s="56">
        <v>306669.93999999994</v>
      </c>
      <c r="S12" s="53">
        <v>559380.65999999992</v>
      </c>
      <c r="T12" s="57">
        <v>927525</v>
      </c>
      <c r="U12" s="56">
        <v>4559.5099999999984</v>
      </c>
      <c r="V12" s="53">
        <v>434248.99</v>
      </c>
      <c r="W12" s="57">
        <v>1005800</v>
      </c>
      <c r="X12" s="86">
        <v>406894.31</v>
      </c>
    </row>
    <row r="13" spans="1:24" x14ac:dyDescent="0.3">
      <c r="A13" s="51" t="s">
        <v>399</v>
      </c>
      <c r="B13" s="52">
        <v>65789.34</v>
      </c>
      <c r="C13" s="53">
        <v>65789.34</v>
      </c>
      <c r="D13" s="52">
        <v>0</v>
      </c>
      <c r="E13" s="53">
        <v>399122.68</v>
      </c>
      <c r="F13" s="52">
        <v>0</v>
      </c>
      <c r="G13" s="53">
        <v>200000</v>
      </c>
      <c r="H13" s="54">
        <v>265000</v>
      </c>
      <c r="I13" s="55">
        <v>268333.32</v>
      </c>
      <c r="J13" s="53">
        <v>266666.64</v>
      </c>
      <c r="K13" s="54">
        <v>600000</v>
      </c>
      <c r="L13" s="55">
        <v>600000</v>
      </c>
      <c r="M13" s="53">
        <v>551506.72</v>
      </c>
      <c r="N13" s="54">
        <v>600000</v>
      </c>
      <c r="O13" s="56">
        <v>397260.4</v>
      </c>
      <c r="P13" s="53">
        <v>456617.61</v>
      </c>
      <c r="Q13" s="57">
        <v>135000</v>
      </c>
      <c r="R13" s="56">
        <v>0</v>
      </c>
      <c r="S13" s="53">
        <v>264227.18</v>
      </c>
      <c r="T13" s="57">
        <v>200000</v>
      </c>
      <c r="U13" s="56">
        <v>0</v>
      </c>
      <c r="V13" s="53">
        <v>297972.59999999998</v>
      </c>
      <c r="W13" s="57">
        <v>395000</v>
      </c>
      <c r="X13" s="86">
        <v>0</v>
      </c>
    </row>
    <row r="14" spans="1:24" x14ac:dyDescent="0.3">
      <c r="A14" s="51" t="s">
        <v>444</v>
      </c>
      <c r="B14" s="52">
        <v>0</v>
      </c>
      <c r="C14" s="53">
        <v>0</v>
      </c>
      <c r="D14" s="52">
        <v>0</v>
      </c>
      <c r="E14" s="53">
        <v>0</v>
      </c>
      <c r="F14" s="52">
        <v>0</v>
      </c>
      <c r="G14" s="53">
        <v>0</v>
      </c>
      <c r="H14" s="90">
        <v>0</v>
      </c>
      <c r="I14" s="55">
        <v>0</v>
      </c>
      <c r="J14" s="53">
        <v>3579801</v>
      </c>
      <c r="K14" s="90">
        <v>5837365</v>
      </c>
      <c r="L14" s="55">
        <v>0</v>
      </c>
      <c r="M14" s="53">
        <v>0</v>
      </c>
      <c r="N14" s="90">
        <v>5837365</v>
      </c>
      <c r="O14" s="56">
        <v>0</v>
      </c>
      <c r="P14" s="53">
        <v>0</v>
      </c>
      <c r="Q14" s="90">
        <v>5837365</v>
      </c>
      <c r="R14" s="56">
        <v>0</v>
      </c>
      <c r="S14" s="53">
        <v>0</v>
      </c>
      <c r="T14" s="90">
        <v>0</v>
      </c>
      <c r="U14" s="56">
        <v>0</v>
      </c>
      <c r="V14" s="53">
        <v>0</v>
      </c>
      <c r="W14" s="90">
        <v>0</v>
      </c>
      <c r="X14" s="86">
        <v>0</v>
      </c>
    </row>
    <row r="15" spans="1:24" x14ac:dyDescent="0.3">
      <c r="A15" s="51" t="s">
        <v>445</v>
      </c>
      <c r="B15" s="52">
        <v>0</v>
      </c>
      <c r="C15" s="53">
        <v>0</v>
      </c>
      <c r="D15" s="52">
        <v>0</v>
      </c>
      <c r="E15" s="53">
        <v>0</v>
      </c>
      <c r="F15" s="52">
        <v>0</v>
      </c>
      <c r="G15" s="53">
        <v>0</v>
      </c>
      <c r="H15" s="91">
        <v>0</v>
      </c>
      <c r="I15" s="55">
        <v>0</v>
      </c>
      <c r="J15" s="53">
        <v>1673827.4999999998</v>
      </c>
      <c r="K15" s="91"/>
      <c r="L15" s="55">
        <v>0</v>
      </c>
      <c r="M15" s="53">
        <v>24466.300000000003</v>
      </c>
      <c r="N15" s="91"/>
      <c r="O15" s="56">
        <v>0</v>
      </c>
      <c r="P15" s="53">
        <v>0</v>
      </c>
      <c r="Q15" s="91"/>
      <c r="R15" s="56">
        <v>0</v>
      </c>
      <c r="S15" s="53">
        <v>0</v>
      </c>
      <c r="T15" s="91">
        <v>0</v>
      </c>
      <c r="U15" s="56">
        <v>0</v>
      </c>
      <c r="V15" s="53">
        <v>0</v>
      </c>
      <c r="W15" s="91">
        <v>0</v>
      </c>
      <c r="X15" s="86">
        <v>0</v>
      </c>
    </row>
    <row r="16" spans="1:24" x14ac:dyDescent="0.3">
      <c r="A16" s="51" t="s">
        <v>446</v>
      </c>
      <c r="B16" s="52">
        <v>0</v>
      </c>
      <c r="C16" s="53">
        <v>0</v>
      </c>
      <c r="D16" s="52">
        <v>0</v>
      </c>
      <c r="E16" s="53">
        <v>0</v>
      </c>
      <c r="F16" s="52">
        <v>0</v>
      </c>
      <c r="G16" s="53">
        <v>0</v>
      </c>
      <c r="H16" s="91">
        <v>0</v>
      </c>
      <c r="I16" s="55">
        <v>0</v>
      </c>
      <c r="J16" s="53">
        <v>583736.5</v>
      </c>
      <c r="K16" s="91"/>
      <c r="L16" s="55">
        <v>0</v>
      </c>
      <c r="M16" s="53">
        <v>259825.31</v>
      </c>
      <c r="N16" s="91"/>
      <c r="O16" s="56">
        <v>0</v>
      </c>
      <c r="P16" s="53">
        <v>0</v>
      </c>
      <c r="Q16" s="91"/>
      <c r="R16" s="56">
        <v>0</v>
      </c>
      <c r="S16" s="53">
        <v>0</v>
      </c>
      <c r="T16" s="91">
        <v>0</v>
      </c>
      <c r="U16" s="56">
        <v>0</v>
      </c>
      <c r="V16" s="53">
        <v>0</v>
      </c>
      <c r="W16" s="91">
        <v>0</v>
      </c>
      <c r="X16" s="86">
        <v>0</v>
      </c>
    </row>
    <row r="17" spans="1:24" x14ac:dyDescent="0.3">
      <c r="A17" s="51" t="s">
        <v>447</v>
      </c>
      <c r="B17" s="52">
        <v>0</v>
      </c>
      <c r="C17" s="53">
        <v>0</v>
      </c>
      <c r="D17" s="52">
        <v>0</v>
      </c>
      <c r="E17" s="53">
        <v>0</v>
      </c>
      <c r="F17" s="52">
        <v>0</v>
      </c>
      <c r="G17" s="53">
        <v>0</v>
      </c>
      <c r="H17" s="92">
        <v>0</v>
      </c>
      <c r="I17" s="55">
        <v>0</v>
      </c>
      <c r="J17" s="53">
        <v>0</v>
      </c>
      <c r="K17" s="92"/>
      <c r="L17" s="55">
        <v>0</v>
      </c>
      <c r="M17" s="53">
        <v>5837365</v>
      </c>
      <c r="N17" s="92"/>
      <c r="O17" s="56">
        <v>0</v>
      </c>
      <c r="P17" s="53">
        <v>5837365</v>
      </c>
      <c r="Q17" s="92"/>
      <c r="R17" s="56">
        <v>0</v>
      </c>
      <c r="S17" s="53">
        <v>0</v>
      </c>
      <c r="T17" s="92">
        <v>0</v>
      </c>
      <c r="U17" s="56">
        <v>0</v>
      </c>
      <c r="V17" s="53">
        <v>0</v>
      </c>
      <c r="W17" s="92">
        <v>0</v>
      </c>
      <c r="X17" s="86">
        <v>0</v>
      </c>
    </row>
    <row r="18" spans="1:24" x14ac:dyDescent="0.3">
      <c r="A18" s="51" t="s">
        <v>400</v>
      </c>
      <c r="B18" s="52">
        <v>49600</v>
      </c>
      <c r="C18" s="53">
        <v>386000</v>
      </c>
      <c r="D18" s="52">
        <v>-50145.990000000005</v>
      </c>
      <c r="E18" s="53">
        <v>455089.56</v>
      </c>
      <c r="F18" s="52">
        <v>134833.66999999998</v>
      </c>
      <c r="G18" s="53">
        <v>400610.82</v>
      </c>
      <c r="H18" s="54">
        <v>430207</v>
      </c>
      <c r="I18" s="55">
        <v>-3730.34</v>
      </c>
      <c r="J18" s="53">
        <v>270388.73</v>
      </c>
      <c r="K18" s="54">
        <v>458000</v>
      </c>
      <c r="L18" s="55">
        <v>76846.59</v>
      </c>
      <c r="M18" s="53">
        <v>753758.45</v>
      </c>
      <c r="N18" s="54">
        <v>764000</v>
      </c>
      <c r="O18" s="56">
        <v>263582.76</v>
      </c>
      <c r="P18" s="53">
        <v>1054864.7</v>
      </c>
      <c r="Q18" s="57">
        <v>1453141</v>
      </c>
      <c r="R18" s="56">
        <v>56458.99</v>
      </c>
      <c r="S18" s="53">
        <v>270235.71999999997</v>
      </c>
      <c r="T18" s="57">
        <v>945039</v>
      </c>
      <c r="U18" s="56">
        <v>357952.79000000004</v>
      </c>
      <c r="V18" s="53">
        <v>1392898.61</v>
      </c>
      <c r="W18" s="57">
        <v>1481150</v>
      </c>
      <c r="X18" s="86">
        <v>220003.55000000002</v>
      </c>
    </row>
    <row r="19" spans="1:24" x14ac:dyDescent="0.3">
      <c r="A19" s="58" t="s">
        <v>448</v>
      </c>
      <c r="B19" s="59">
        <v>0</v>
      </c>
      <c r="C19" s="60">
        <v>0</v>
      </c>
      <c r="D19" s="59">
        <v>0</v>
      </c>
      <c r="E19" s="60">
        <v>0</v>
      </c>
      <c r="F19" s="59">
        <v>0</v>
      </c>
      <c r="G19" s="60">
        <v>0</v>
      </c>
      <c r="H19" s="62">
        <v>0</v>
      </c>
      <c r="I19" s="61">
        <v>0</v>
      </c>
      <c r="J19" s="60">
        <v>0</v>
      </c>
      <c r="K19" s="62">
        <v>0</v>
      </c>
      <c r="L19" s="61">
        <v>0</v>
      </c>
      <c r="M19" s="60">
        <v>0</v>
      </c>
      <c r="N19" s="62">
        <v>1000000</v>
      </c>
      <c r="O19" s="63">
        <v>0</v>
      </c>
      <c r="P19" s="60">
        <v>0</v>
      </c>
      <c r="Q19" s="64">
        <v>0</v>
      </c>
      <c r="R19" s="63">
        <v>0</v>
      </c>
      <c r="S19" s="60">
        <v>0</v>
      </c>
      <c r="T19" s="64">
        <v>0</v>
      </c>
      <c r="U19" s="63">
        <v>0</v>
      </c>
      <c r="V19" s="60">
        <v>0</v>
      </c>
      <c r="W19" s="64">
        <v>0</v>
      </c>
      <c r="X19" s="87">
        <v>0</v>
      </c>
    </row>
    <row r="20" spans="1:24" x14ac:dyDescent="0.3">
      <c r="A20" s="58" t="s">
        <v>449</v>
      </c>
      <c r="B20" s="59">
        <v>0</v>
      </c>
      <c r="C20" s="60">
        <v>0</v>
      </c>
      <c r="D20" s="59">
        <v>0</v>
      </c>
      <c r="E20" s="60">
        <v>0</v>
      </c>
      <c r="F20" s="59">
        <v>0</v>
      </c>
      <c r="G20" s="60">
        <v>0</v>
      </c>
      <c r="H20" s="62">
        <v>0</v>
      </c>
      <c r="I20" s="61">
        <v>0</v>
      </c>
      <c r="J20" s="60">
        <v>0</v>
      </c>
      <c r="K20" s="62">
        <v>0</v>
      </c>
      <c r="L20" s="61">
        <v>0</v>
      </c>
      <c r="M20" s="60">
        <v>0</v>
      </c>
      <c r="N20" s="62">
        <v>1000000</v>
      </c>
      <c r="O20" s="63">
        <v>0</v>
      </c>
      <c r="P20" s="60">
        <v>0</v>
      </c>
      <c r="Q20" s="64">
        <v>1589228</v>
      </c>
      <c r="R20" s="63">
        <v>0</v>
      </c>
      <c r="S20" s="60">
        <v>0</v>
      </c>
      <c r="T20" s="64">
        <v>0</v>
      </c>
      <c r="U20" s="63">
        <v>0</v>
      </c>
      <c r="V20" s="60">
        <v>0</v>
      </c>
      <c r="W20" s="64">
        <v>0</v>
      </c>
      <c r="X20" s="87">
        <v>0</v>
      </c>
    </row>
    <row r="21" spans="1:24" x14ac:dyDescent="0.3">
      <c r="A21" s="65" t="s">
        <v>401</v>
      </c>
      <c r="B21" s="66">
        <v>216053.08</v>
      </c>
      <c r="C21" s="67">
        <v>690207.59</v>
      </c>
      <c r="D21" s="66">
        <v>240480.71000000002</v>
      </c>
      <c r="E21" s="67">
        <v>408746.9</v>
      </c>
      <c r="F21" s="66">
        <v>383287</v>
      </c>
      <c r="G21" s="67">
        <v>943757.07000000007</v>
      </c>
      <c r="H21" s="68">
        <v>805700</v>
      </c>
      <c r="I21" s="69">
        <v>260829.7</v>
      </c>
      <c r="J21" s="67">
        <v>544271.76</v>
      </c>
      <c r="K21" s="68">
        <v>250239.4</v>
      </c>
      <c r="L21" s="69">
        <v>850033.73999999987</v>
      </c>
      <c r="M21" s="67">
        <v>1142141.5999999999</v>
      </c>
      <c r="N21" s="68">
        <v>250239.40000000002</v>
      </c>
      <c r="O21" s="70">
        <v>475463.13</v>
      </c>
      <c r="P21" s="67">
        <v>549708.92999999993</v>
      </c>
      <c r="Q21" s="71">
        <v>0</v>
      </c>
      <c r="R21" s="70">
        <v>343883.51</v>
      </c>
      <c r="S21" s="67">
        <v>1140659.26</v>
      </c>
      <c r="T21" s="71">
        <v>333032</v>
      </c>
      <c r="U21" s="70">
        <v>43609.669999999991</v>
      </c>
      <c r="V21" s="67">
        <v>440989.79</v>
      </c>
      <c r="W21" s="71">
        <v>97500</v>
      </c>
      <c r="X21" s="88">
        <v>261061.71999999994</v>
      </c>
    </row>
    <row r="22" spans="1:24" x14ac:dyDescent="0.3">
      <c r="A22" s="72" t="s">
        <v>402</v>
      </c>
      <c r="B22" s="30">
        <f>SUM(B23:B36)</f>
        <v>12043394.970000001</v>
      </c>
      <c r="C22" s="31">
        <f t="shared" ref="C22:X22" si="1">SUM(C23:C36)</f>
        <v>26179925.019999992</v>
      </c>
      <c r="D22" s="30">
        <f t="shared" si="1"/>
        <v>9378581.5399999991</v>
      </c>
      <c r="E22" s="31">
        <f t="shared" si="1"/>
        <v>29516919.670000006</v>
      </c>
      <c r="F22" s="30">
        <f t="shared" si="1"/>
        <v>9408657.049999997</v>
      </c>
      <c r="G22" s="31">
        <f t="shared" si="1"/>
        <v>24772849.419999994</v>
      </c>
      <c r="H22" s="32">
        <f t="shared" si="1"/>
        <v>21882942</v>
      </c>
      <c r="I22" s="33">
        <f t="shared" si="1"/>
        <v>11727817.129999999</v>
      </c>
      <c r="J22" s="31">
        <f t="shared" si="1"/>
        <v>33443546.670000002</v>
      </c>
      <c r="K22" s="32">
        <f t="shared" si="1"/>
        <v>28490898.066666666</v>
      </c>
      <c r="L22" s="33">
        <f t="shared" si="1"/>
        <v>8504179.8600000013</v>
      </c>
      <c r="M22" s="31">
        <f t="shared" si="1"/>
        <v>44128654.640000001</v>
      </c>
      <c r="N22" s="32">
        <f t="shared" si="1"/>
        <v>28304445.406666666</v>
      </c>
      <c r="O22" s="34">
        <f t="shared" si="1"/>
        <v>12588868.789999999</v>
      </c>
      <c r="P22" s="31">
        <f t="shared" si="1"/>
        <v>55484689.479999982</v>
      </c>
      <c r="Q22" s="35">
        <f t="shared" si="1"/>
        <v>40901866</v>
      </c>
      <c r="R22" s="34">
        <f t="shared" si="1"/>
        <v>6706023.3200000003</v>
      </c>
      <c r="S22" s="73">
        <f t="shared" si="1"/>
        <v>51235679.969999939</v>
      </c>
      <c r="T22" s="35">
        <f t="shared" si="1"/>
        <v>51134766</v>
      </c>
      <c r="U22" s="34">
        <f t="shared" si="1"/>
        <v>10978542.039999999</v>
      </c>
      <c r="V22" s="73">
        <f t="shared" si="1"/>
        <v>46976602</v>
      </c>
      <c r="W22" s="35">
        <f t="shared" si="1"/>
        <v>58742945</v>
      </c>
      <c r="X22" s="73">
        <f t="shared" si="1"/>
        <v>12043485.799999997</v>
      </c>
    </row>
    <row r="23" spans="1:24" x14ac:dyDescent="0.3">
      <c r="A23" s="74" t="s">
        <v>403</v>
      </c>
      <c r="B23" s="45">
        <v>5793809.8099999987</v>
      </c>
      <c r="C23" s="46">
        <v>7312149.2899999991</v>
      </c>
      <c r="D23" s="45">
        <v>4541375.6800000006</v>
      </c>
      <c r="E23" s="46">
        <v>7392490.3700000001</v>
      </c>
      <c r="F23" s="45">
        <v>4308388.1099999985</v>
      </c>
      <c r="G23" s="46">
        <v>5047253.7899999991</v>
      </c>
      <c r="H23" s="47">
        <v>7878030</v>
      </c>
      <c r="I23" s="48">
        <v>6149739.4499999993</v>
      </c>
      <c r="J23" s="46">
        <v>9298065.9900000002</v>
      </c>
      <c r="K23" s="47">
        <v>7300757.4500000002</v>
      </c>
      <c r="L23" s="48">
        <v>5959941.9799999995</v>
      </c>
      <c r="M23" s="46">
        <v>13816522.189999998</v>
      </c>
      <c r="N23" s="47">
        <v>6541964.79</v>
      </c>
      <c r="O23" s="49">
        <v>5297323.709999999</v>
      </c>
      <c r="P23" s="46">
        <v>14449431.909999998</v>
      </c>
      <c r="Q23" s="50">
        <v>13267028</v>
      </c>
      <c r="R23" s="49">
        <v>6210.9500000000007</v>
      </c>
      <c r="S23" s="46">
        <v>18302466.630000003</v>
      </c>
      <c r="T23" s="50">
        <v>16583158</v>
      </c>
      <c r="U23" s="49">
        <v>1766981.3</v>
      </c>
      <c r="V23" s="46">
        <v>13720769.210000001</v>
      </c>
      <c r="W23" s="50">
        <v>23686647</v>
      </c>
      <c r="X23" s="85">
        <v>2631244.1399999987</v>
      </c>
    </row>
    <row r="24" spans="1:24" x14ac:dyDescent="0.3">
      <c r="A24" s="101" t="s">
        <v>404</v>
      </c>
      <c r="B24" s="52">
        <v>4284030.58</v>
      </c>
      <c r="C24" s="53">
        <v>11368570.409999998</v>
      </c>
      <c r="D24" s="52">
        <v>2210063.48</v>
      </c>
      <c r="E24" s="53">
        <v>13433355.650000002</v>
      </c>
      <c r="F24" s="52">
        <v>3242061.95</v>
      </c>
      <c r="G24" s="53">
        <v>12252612.509999998</v>
      </c>
      <c r="H24" s="54">
        <v>10500000</v>
      </c>
      <c r="I24" s="55">
        <v>3691888.07</v>
      </c>
      <c r="J24" s="53">
        <v>15004208.75</v>
      </c>
      <c r="K24" s="54">
        <v>13000000</v>
      </c>
      <c r="L24" s="55">
        <v>1025455.1000000002</v>
      </c>
      <c r="M24" s="53">
        <v>20663960.450000003</v>
      </c>
      <c r="N24" s="54">
        <v>14000000</v>
      </c>
      <c r="O24" s="56">
        <v>3908744.26</v>
      </c>
      <c r="P24" s="53">
        <v>22962573.07</v>
      </c>
      <c r="Q24" s="57">
        <v>20000000</v>
      </c>
      <c r="R24" s="56">
        <v>5081039.46</v>
      </c>
      <c r="S24" s="53">
        <v>20666853.349999934</v>
      </c>
      <c r="T24" s="57">
        <v>18000000</v>
      </c>
      <c r="U24" s="56">
        <v>4175381</v>
      </c>
      <c r="V24" s="53">
        <v>14833659.93</v>
      </c>
      <c r="W24" s="57">
        <v>18000000</v>
      </c>
      <c r="X24" s="86">
        <v>5783580.5399999991</v>
      </c>
    </row>
    <row r="25" spans="1:24" x14ac:dyDescent="0.3">
      <c r="A25" s="101" t="s">
        <v>405</v>
      </c>
      <c r="B25" s="52">
        <v>1833.33</v>
      </c>
      <c r="C25" s="53">
        <v>64061.110000000008</v>
      </c>
      <c r="D25" s="52">
        <v>0</v>
      </c>
      <c r="E25" s="53">
        <v>306692</v>
      </c>
      <c r="F25" s="52">
        <v>29357.129999999997</v>
      </c>
      <c r="G25" s="53">
        <v>484786.91000000003</v>
      </c>
      <c r="H25" s="54">
        <v>1085831</v>
      </c>
      <c r="I25" s="55">
        <v>191927.97999999998</v>
      </c>
      <c r="J25" s="53">
        <v>613845.82999999996</v>
      </c>
      <c r="K25" s="54">
        <v>0</v>
      </c>
      <c r="L25" s="55">
        <v>172712.4</v>
      </c>
      <c r="M25" s="53">
        <v>601422.02999999991</v>
      </c>
      <c r="N25" s="54">
        <v>0</v>
      </c>
      <c r="O25" s="56">
        <v>3783.44</v>
      </c>
      <c r="P25" s="53">
        <v>1259782.0899999999</v>
      </c>
      <c r="Q25" s="57">
        <v>199775</v>
      </c>
      <c r="R25" s="56">
        <v>114950</v>
      </c>
      <c r="S25" s="53">
        <v>393698.81</v>
      </c>
      <c r="T25" s="57">
        <v>0</v>
      </c>
      <c r="U25" s="56">
        <v>45411.91</v>
      </c>
      <c r="V25" s="53">
        <v>7760.3000000000029</v>
      </c>
      <c r="W25" s="57">
        <v>0</v>
      </c>
      <c r="X25" s="86">
        <v>48557.119999999995</v>
      </c>
    </row>
    <row r="26" spans="1:24" x14ac:dyDescent="0.3">
      <c r="A26" s="75" t="s">
        <v>406</v>
      </c>
      <c r="B26" s="52">
        <v>113820.91</v>
      </c>
      <c r="C26" s="53">
        <v>215213.74</v>
      </c>
      <c r="D26" s="52">
        <v>-11006.32</v>
      </c>
      <c r="E26" s="53">
        <v>75453.679999999993</v>
      </c>
      <c r="F26" s="52">
        <v>0</v>
      </c>
      <c r="G26" s="53">
        <v>59625.93</v>
      </c>
      <c r="H26" s="54">
        <v>81972</v>
      </c>
      <c r="I26" s="55">
        <v>0</v>
      </c>
      <c r="J26" s="53">
        <v>96800</v>
      </c>
      <c r="K26" s="54">
        <v>0</v>
      </c>
      <c r="L26" s="55">
        <v>17780.87</v>
      </c>
      <c r="M26" s="53">
        <v>57544.76999999999</v>
      </c>
      <c r="N26" s="54">
        <v>77440</v>
      </c>
      <c r="O26" s="56">
        <v>-25652</v>
      </c>
      <c r="P26" s="53">
        <v>-23949.81</v>
      </c>
      <c r="Q26" s="57">
        <v>89075</v>
      </c>
      <c r="R26" s="56">
        <v>0</v>
      </c>
      <c r="S26" s="53">
        <v>122089.85</v>
      </c>
      <c r="T26" s="57">
        <v>225000</v>
      </c>
      <c r="U26" s="56">
        <v>0</v>
      </c>
      <c r="V26" s="53">
        <v>-6559.46</v>
      </c>
      <c r="W26" s="57">
        <v>0</v>
      </c>
      <c r="X26" s="86">
        <v>0</v>
      </c>
    </row>
    <row r="27" spans="1:24" x14ac:dyDescent="0.3">
      <c r="A27" s="75" t="s">
        <v>407</v>
      </c>
      <c r="B27" s="52">
        <v>64500</v>
      </c>
      <c r="C27" s="53">
        <v>249329.78</v>
      </c>
      <c r="D27" s="52">
        <v>120893.75</v>
      </c>
      <c r="E27" s="53">
        <v>356223.53</v>
      </c>
      <c r="F27" s="52">
        <v>285060</v>
      </c>
      <c r="G27" s="53">
        <v>285060</v>
      </c>
      <c r="H27" s="54">
        <v>213938</v>
      </c>
      <c r="I27" s="55">
        <v>0</v>
      </c>
      <c r="J27" s="53">
        <v>300562.5</v>
      </c>
      <c r="K27" s="54">
        <v>0</v>
      </c>
      <c r="L27" s="55">
        <v>234750</v>
      </c>
      <c r="M27" s="53">
        <v>260771.44000000003</v>
      </c>
      <c r="N27" s="54">
        <v>122375</v>
      </c>
      <c r="O27" s="56">
        <v>189165.88</v>
      </c>
      <c r="P27" s="53">
        <v>275575.23</v>
      </c>
      <c r="Q27" s="57">
        <v>252965</v>
      </c>
      <c r="R27" s="56">
        <v>-2.8</v>
      </c>
      <c r="S27" s="53">
        <v>109845.73</v>
      </c>
      <c r="T27" s="57">
        <v>694219</v>
      </c>
      <c r="U27" s="56">
        <v>-206.44000000000003</v>
      </c>
      <c r="V27" s="53">
        <v>157946.35</v>
      </c>
      <c r="W27" s="57">
        <v>250000</v>
      </c>
      <c r="X27" s="86">
        <v>0</v>
      </c>
    </row>
    <row r="28" spans="1:24" x14ac:dyDescent="0.3">
      <c r="A28" s="75" t="s">
        <v>450</v>
      </c>
      <c r="B28" s="52">
        <v>285222.13999999996</v>
      </c>
      <c r="C28" s="53">
        <v>317064.68</v>
      </c>
      <c r="D28" s="52">
        <v>214633.96999999997</v>
      </c>
      <c r="E28" s="53">
        <v>310839.90999999997</v>
      </c>
      <c r="F28" s="52">
        <v>80824.989999999991</v>
      </c>
      <c r="G28" s="53">
        <v>230346.07</v>
      </c>
      <c r="H28" s="54">
        <v>183944</v>
      </c>
      <c r="I28" s="55">
        <v>44423.199999999997</v>
      </c>
      <c r="J28" s="53">
        <v>236525.39</v>
      </c>
      <c r="K28" s="54">
        <v>0</v>
      </c>
      <c r="L28" s="55">
        <v>81653.83</v>
      </c>
      <c r="M28" s="53">
        <v>276528.58999999997</v>
      </c>
      <c r="N28" s="54">
        <v>147160</v>
      </c>
      <c r="O28" s="56">
        <v>154332.93</v>
      </c>
      <c r="P28" s="53">
        <v>352576.75</v>
      </c>
      <c r="Q28" s="57">
        <v>373560</v>
      </c>
      <c r="R28" s="56">
        <v>45105.440000000002</v>
      </c>
      <c r="S28" s="53">
        <v>323005.63999999996</v>
      </c>
      <c r="T28" s="57">
        <v>1355200</v>
      </c>
      <c r="U28" s="56">
        <v>91179.63</v>
      </c>
      <c r="V28" s="53">
        <v>438690.82</v>
      </c>
      <c r="W28" s="57">
        <v>340200</v>
      </c>
      <c r="X28" s="86">
        <v>90563.12</v>
      </c>
    </row>
    <row r="29" spans="1:24" x14ac:dyDescent="0.3">
      <c r="A29" s="75" t="s">
        <v>408</v>
      </c>
      <c r="B29" s="52">
        <v>0</v>
      </c>
      <c r="C29" s="53">
        <v>880000</v>
      </c>
      <c r="D29" s="52">
        <v>0</v>
      </c>
      <c r="E29" s="53">
        <v>1080000</v>
      </c>
      <c r="F29" s="52">
        <v>0</v>
      </c>
      <c r="G29" s="53">
        <v>1080000</v>
      </c>
      <c r="H29" s="54">
        <v>800000</v>
      </c>
      <c r="I29" s="55">
        <v>0</v>
      </c>
      <c r="J29" s="53">
        <v>1080000</v>
      </c>
      <c r="K29" s="54">
        <v>1000000</v>
      </c>
      <c r="L29" s="55">
        <v>0</v>
      </c>
      <c r="M29" s="53">
        <v>1240000</v>
      </c>
      <c r="N29" s="54">
        <v>1040000</v>
      </c>
      <c r="O29" s="56">
        <v>0</v>
      </c>
      <c r="P29" s="53">
        <v>1613718.04</v>
      </c>
      <c r="Q29" s="57">
        <v>1200000</v>
      </c>
      <c r="R29" s="56">
        <v>0</v>
      </c>
      <c r="S29" s="53">
        <v>1560000</v>
      </c>
      <c r="T29" s="57">
        <v>1800000</v>
      </c>
      <c r="U29" s="56">
        <v>479172.83</v>
      </c>
      <c r="V29" s="53">
        <v>1523686.1400000001</v>
      </c>
      <c r="W29" s="57">
        <v>2680000</v>
      </c>
      <c r="X29" s="86">
        <v>285460.07</v>
      </c>
    </row>
    <row r="30" spans="1:24" x14ac:dyDescent="0.3">
      <c r="A30" s="75" t="s">
        <v>409</v>
      </c>
      <c r="B30" s="52">
        <v>0</v>
      </c>
      <c r="C30" s="53">
        <v>732702.92999999959</v>
      </c>
      <c r="D30" s="52">
        <v>732739.2200000002</v>
      </c>
      <c r="E30" s="53">
        <v>742550.2200000002</v>
      </c>
      <c r="F30" s="52">
        <v>764753.73999999987</v>
      </c>
      <c r="G30" s="53">
        <v>774563.40999999992</v>
      </c>
      <c r="H30" s="54">
        <v>0</v>
      </c>
      <c r="I30" s="55">
        <v>0</v>
      </c>
      <c r="J30" s="53">
        <v>0</v>
      </c>
      <c r="K30" s="54">
        <v>740140.6166666667</v>
      </c>
      <c r="L30" s="55">
        <v>0</v>
      </c>
      <c r="M30" s="53">
        <v>6591.23</v>
      </c>
      <c r="N30" s="54">
        <v>740140.6166666667</v>
      </c>
      <c r="O30" s="56">
        <v>0</v>
      </c>
      <c r="P30" s="53">
        <v>2968184.4499999965</v>
      </c>
      <c r="Q30" s="57">
        <v>1527500</v>
      </c>
      <c r="R30" s="56">
        <v>24152.34</v>
      </c>
      <c r="S30" s="53">
        <v>24152.34</v>
      </c>
      <c r="T30" s="57">
        <v>1481167</v>
      </c>
      <c r="U30" s="56">
        <v>0</v>
      </c>
      <c r="V30" s="53">
        <v>1400120.3499999999</v>
      </c>
      <c r="W30" s="57">
        <v>1481167</v>
      </c>
      <c r="X30" s="86">
        <v>0</v>
      </c>
    </row>
    <row r="31" spans="1:24" x14ac:dyDescent="0.3">
      <c r="A31" s="75" t="s">
        <v>410</v>
      </c>
      <c r="B31" s="52">
        <v>0</v>
      </c>
      <c r="C31" s="53">
        <v>0</v>
      </c>
      <c r="D31" s="52">
        <v>0</v>
      </c>
      <c r="E31" s="53">
        <v>0</v>
      </c>
      <c r="F31" s="52">
        <v>0</v>
      </c>
      <c r="G31" s="53">
        <v>0</v>
      </c>
      <c r="H31" s="54">
        <v>0</v>
      </c>
      <c r="I31" s="55">
        <v>0</v>
      </c>
      <c r="J31" s="53">
        <v>389523.51</v>
      </c>
      <c r="K31" s="54">
        <v>1000000</v>
      </c>
      <c r="L31" s="55">
        <v>0</v>
      </c>
      <c r="M31" s="53">
        <v>836835.05000000016</v>
      </c>
      <c r="N31" s="54">
        <v>1000000</v>
      </c>
      <c r="O31" s="56">
        <v>0</v>
      </c>
      <c r="P31" s="53">
        <v>0</v>
      </c>
      <c r="Q31" s="57">
        <v>0</v>
      </c>
      <c r="R31" s="56">
        <v>0</v>
      </c>
      <c r="S31" s="53">
        <v>642505.7200000002</v>
      </c>
      <c r="T31" s="57">
        <v>1000000</v>
      </c>
      <c r="U31" s="56">
        <v>2571255.7399999998</v>
      </c>
      <c r="V31" s="53">
        <v>2571255.7399999998</v>
      </c>
      <c r="W31" s="57">
        <v>2308909</v>
      </c>
      <c r="X31" s="86">
        <v>0</v>
      </c>
    </row>
    <row r="32" spans="1:24" x14ac:dyDescent="0.3">
      <c r="A32" s="51" t="s">
        <v>411</v>
      </c>
      <c r="B32" s="52">
        <v>0</v>
      </c>
      <c r="C32" s="53">
        <v>191399.5</v>
      </c>
      <c r="D32" s="52">
        <v>-140757</v>
      </c>
      <c r="E32" s="53">
        <v>1117974</v>
      </c>
      <c r="F32" s="52">
        <v>0</v>
      </c>
      <c r="G32" s="53">
        <v>0</v>
      </c>
      <c r="H32" s="54">
        <v>1000000</v>
      </c>
      <c r="I32" s="55">
        <v>0</v>
      </c>
      <c r="J32" s="53">
        <v>-100</v>
      </c>
      <c r="K32" s="54">
        <v>1000000</v>
      </c>
      <c r="L32" s="55">
        <v>0</v>
      </c>
      <c r="M32" s="53">
        <v>-1500</v>
      </c>
      <c r="N32" s="54">
        <v>1000000</v>
      </c>
      <c r="O32" s="56">
        <v>0</v>
      </c>
      <c r="P32" s="53">
        <v>0</v>
      </c>
      <c r="Q32" s="57">
        <v>800000</v>
      </c>
      <c r="R32" s="56">
        <v>0</v>
      </c>
      <c r="S32" s="53">
        <v>-67704.670000000857</v>
      </c>
      <c r="T32" s="57">
        <v>0</v>
      </c>
      <c r="U32" s="56">
        <v>0</v>
      </c>
      <c r="V32" s="53">
        <v>0</v>
      </c>
      <c r="W32" s="57">
        <v>0</v>
      </c>
      <c r="X32" s="86">
        <v>0</v>
      </c>
    </row>
    <row r="33" spans="1:24" x14ac:dyDescent="0.3">
      <c r="A33" s="51" t="s">
        <v>412</v>
      </c>
      <c r="B33" s="52">
        <v>500000</v>
      </c>
      <c r="C33" s="53">
        <v>500000</v>
      </c>
      <c r="D33" s="52">
        <v>500000</v>
      </c>
      <c r="E33" s="53">
        <v>500000</v>
      </c>
      <c r="F33" s="52">
        <v>0</v>
      </c>
      <c r="G33" s="53">
        <v>500000</v>
      </c>
      <c r="H33" s="54">
        <v>0</v>
      </c>
      <c r="I33" s="55">
        <v>0</v>
      </c>
      <c r="J33" s="53">
        <v>0</v>
      </c>
      <c r="K33" s="54">
        <v>0</v>
      </c>
      <c r="L33" s="55">
        <v>0</v>
      </c>
      <c r="M33" s="53">
        <v>1000000</v>
      </c>
      <c r="N33" s="54">
        <v>500000</v>
      </c>
      <c r="O33" s="56">
        <v>0</v>
      </c>
      <c r="P33" s="53">
        <v>500000</v>
      </c>
      <c r="Q33" s="57">
        <v>2000000</v>
      </c>
      <c r="R33" s="56">
        <v>0</v>
      </c>
      <c r="S33" s="53">
        <v>-3063.03</v>
      </c>
      <c r="T33" s="57">
        <v>0</v>
      </c>
      <c r="U33" s="56">
        <v>0</v>
      </c>
      <c r="V33" s="53">
        <v>559800</v>
      </c>
      <c r="W33" s="57">
        <v>0</v>
      </c>
      <c r="X33" s="86">
        <v>569400</v>
      </c>
    </row>
    <row r="34" spans="1:24" x14ac:dyDescent="0.3">
      <c r="A34" s="58" t="s">
        <v>413</v>
      </c>
      <c r="B34" s="52">
        <v>0</v>
      </c>
      <c r="C34" s="53">
        <v>1107374.22</v>
      </c>
      <c r="D34" s="52">
        <v>0</v>
      </c>
      <c r="E34" s="53">
        <v>738752.8</v>
      </c>
      <c r="F34" s="52">
        <v>70000</v>
      </c>
      <c r="G34" s="53">
        <v>278634.27</v>
      </c>
      <c r="H34" s="54">
        <v>0</v>
      </c>
      <c r="I34" s="55">
        <v>42500</v>
      </c>
      <c r="J34" s="53">
        <v>100367.19</v>
      </c>
      <c r="K34" s="54">
        <v>0</v>
      </c>
      <c r="L34" s="55">
        <v>18289.46</v>
      </c>
      <c r="M34" s="53">
        <v>493381.83</v>
      </c>
      <c r="N34" s="54">
        <v>483148</v>
      </c>
      <c r="O34" s="56">
        <v>129557.45</v>
      </c>
      <c r="P34" s="53">
        <v>88875.930000000022</v>
      </c>
      <c r="Q34" s="57">
        <v>440000</v>
      </c>
      <c r="R34" s="56">
        <v>-35820</v>
      </c>
      <c r="S34" s="53">
        <v>1608594.38</v>
      </c>
      <c r="T34" s="57">
        <v>1245242</v>
      </c>
      <c r="U34" s="56">
        <v>0</v>
      </c>
      <c r="V34" s="53">
        <v>2654873.7800000003</v>
      </c>
      <c r="W34" s="57">
        <v>1245242</v>
      </c>
      <c r="X34" s="86">
        <v>66006.09</v>
      </c>
    </row>
    <row r="35" spans="1:24" x14ac:dyDescent="0.3">
      <c r="A35" s="51" t="s">
        <v>414</v>
      </c>
      <c r="B35" s="52">
        <v>436785.64000000007</v>
      </c>
      <c r="C35" s="53">
        <v>1311937.73</v>
      </c>
      <c r="D35" s="52">
        <v>652528.57999999996</v>
      </c>
      <c r="E35" s="53">
        <v>1326814.1399999999</v>
      </c>
      <c r="F35" s="52">
        <v>353853.76</v>
      </c>
      <c r="G35" s="53">
        <v>1411215.06</v>
      </c>
      <c r="H35" s="54">
        <v>139227</v>
      </c>
      <c r="I35" s="55">
        <v>909088.62</v>
      </c>
      <c r="J35" s="53">
        <v>3307350.1899999995</v>
      </c>
      <c r="K35" s="54">
        <v>4000000</v>
      </c>
      <c r="L35" s="55">
        <v>562711.31000000006</v>
      </c>
      <c r="M35" s="53">
        <v>2429900.7000000002</v>
      </c>
      <c r="N35" s="54">
        <v>832217</v>
      </c>
      <c r="O35" s="56">
        <v>2121165.7800000003</v>
      </c>
      <c r="P35" s="53">
        <v>6881772.3399999999</v>
      </c>
      <c r="Q35" s="57">
        <v>419638</v>
      </c>
      <c r="R35" s="56">
        <v>743343.28</v>
      </c>
      <c r="S35" s="53">
        <v>4151914.54</v>
      </c>
      <c r="T35" s="57">
        <v>2633180</v>
      </c>
      <c r="U35" s="56">
        <v>1395524.85</v>
      </c>
      <c r="V35" s="53">
        <v>5463278.3399999999</v>
      </c>
      <c r="W35" s="57">
        <v>2633180</v>
      </c>
      <c r="X35" s="86">
        <v>2089388.8299999998</v>
      </c>
    </row>
    <row r="36" spans="1:24" ht="15" thickBot="1" x14ac:dyDescent="0.35">
      <c r="A36" s="51" t="s">
        <v>415</v>
      </c>
      <c r="B36" s="52">
        <v>563392.55999999994</v>
      </c>
      <c r="C36" s="53">
        <v>1930121.63</v>
      </c>
      <c r="D36" s="52">
        <v>558110.18000000005</v>
      </c>
      <c r="E36" s="53">
        <v>2135773.37</v>
      </c>
      <c r="F36" s="52">
        <v>274357.37</v>
      </c>
      <c r="G36" s="53">
        <v>2368751.4700000002</v>
      </c>
      <c r="H36" s="54">
        <v>0</v>
      </c>
      <c r="I36" s="55">
        <v>698249.80999999994</v>
      </c>
      <c r="J36" s="53">
        <v>3016397.32</v>
      </c>
      <c r="K36" s="54">
        <v>450000</v>
      </c>
      <c r="L36" s="55">
        <v>430884.91000000003</v>
      </c>
      <c r="M36" s="53">
        <v>2446696.3600000003</v>
      </c>
      <c r="N36" s="54">
        <v>1820000</v>
      </c>
      <c r="O36" s="56">
        <v>810447.34000000008</v>
      </c>
      <c r="P36" s="53">
        <v>4156149.48</v>
      </c>
      <c r="Q36" s="57">
        <v>332325</v>
      </c>
      <c r="R36" s="56">
        <v>727044.64999999944</v>
      </c>
      <c r="S36" s="53">
        <v>3401320.6799999983</v>
      </c>
      <c r="T36" s="57">
        <v>6117600</v>
      </c>
      <c r="U36" s="56">
        <v>453841.21999999991</v>
      </c>
      <c r="V36" s="53">
        <v>3651320.5</v>
      </c>
      <c r="W36" s="57">
        <v>6117600</v>
      </c>
      <c r="X36" s="86">
        <v>479285.88999999996</v>
      </c>
    </row>
    <row r="37" spans="1:24" ht="15" thickBot="1" x14ac:dyDescent="0.35">
      <c r="A37" s="76" t="s">
        <v>13</v>
      </c>
      <c r="B37" s="77">
        <f>+B22+B6++B5</f>
        <v>20044150.310000006</v>
      </c>
      <c r="C37" s="78">
        <f t="shared" ref="C37:X37" si="2">+C22+C6++C5</f>
        <v>49636583.609999999</v>
      </c>
      <c r="D37" s="77">
        <f t="shared" si="2"/>
        <v>16939312.040000003</v>
      </c>
      <c r="E37" s="78">
        <f t="shared" si="2"/>
        <v>52685614.770000011</v>
      </c>
      <c r="F37" s="77">
        <f t="shared" si="2"/>
        <v>16947411.919999998</v>
      </c>
      <c r="G37" s="78">
        <f t="shared" si="2"/>
        <v>44141978.409999996</v>
      </c>
      <c r="H37" s="79">
        <f t="shared" si="2"/>
        <v>42720702</v>
      </c>
      <c r="I37" s="80">
        <f t="shared" si="2"/>
        <v>18618383.029999997</v>
      </c>
      <c r="J37" s="78">
        <f t="shared" si="2"/>
        <v>59539168.440000005</v>
      </c>
      <c r="K37" s="79">
        <f t="shared" si="2"/>
        <v>56401897.194666676</v>
      </c>
      <c r="L37" s="80">
        <f t="shared" si="2"/>
        <v>18181976.470000003</v>
      </c>
      <c r="M37" s="78">
        <f t="shared" si="2"/>
        <v>72085454.75</v>
      </c>
      <c r="N37" s="79">
        <f t="shared" si="2"/>
        <v>59823624.534666672</v>
      </c>
      <c r="O37" s="81">
        <f t="shared" si="2"/>
        <v>22026027.539999999</v>
      </c>
      <c r="P37" s="78">
        <f t="shared" si="2"/>
        <v>84540217.499999985</v>
      </c>
      <c r="Q37" s="82">
        <f t="shared" si="2"/>
        <v>73693399</v>
      </c>
      <c r="R37" s="81">
        <f t="shared" si="2"/>
        <v>12105528.98</v>
      </c>
      <c r="S37" s="83">
        <f t="shared" si="2"/>
        <v>76989879.739999935</v>
      </c>
      <c r="T37" s="82">
        <f t="shared" si="2"/>
        <v>78513595</v>
      </c>
      <c r="U37" s="81">
        <f t="shared" si="2"/>
        <v>16310252.139999999</v>
      </c>
      <c r="V37" s="83">
        <f t="shared" si="2"/>
        <v>75821924.039999992</v>
      </c>
      <c r="W37" s="82">
        <f t="shared" si="2"/>
        <v>86639260</v>
      </c>
      <c r="X37" s="83">
        <f t="shared" si="2"/>
        <v>18801997.929999996</v>
      </c>
    </row>
    <row r="38" spans="1:24" ht="15" thickBot="1" x14ac:dyDescent="0.35"/>
    <row r="39" spans="1:24" ht="15" thickBot="1" x14ac:dyDescent="0.35">
      <c r="A39" s="76" t="s">
        <v>451</v>
      </c>
      <c r="B39" s="89">
        <f>+B37/C37</f>
        <v>0.40381808843833938</v>
      </c>
      <c r="D39" s="89">
        <f>+D37/E37</f>
        <v>0.32151683365466782</v>
      </c>
      <c r="F39" s="89">
        <f>+F37/G37</f>
        <v>0.38392959560146728</v>
      </c>
      <c r="I39" s="89">
        <f>+I37/J37</f>
        <v>0.31270814688590226</v>
      </c>
      <c r="L39" s="89">
        <f>+L37/M37</f>
        <v>0.25222808863531521</v>
      </c>
      <c r="O39" s="89">
        <f>+O37/P37</f>
        <v>0.26053904510004366</v>
      </c>
      <c r="R39" s="89">
        <f>+R37/S37</f>
        <v>0.15723532782336064</v>
      </c>
      <c r="U39" s="89">
        <f>+U37/V37</f>
        <v>0.21511261217000371</v>
      </c>
    </row>
  </sheetData>
  <mergeCells count="17">
    <mergeCell ref="K3:M3"/>
    <mergeCell ref="A3:A4"/>
    <mergeCell ref="B3:C3"/>
    <mergeCell ref="D3:E3"/>
    <mergeCell ref="F3:G3"/>
    <mergeCell ref="H3:J3"/>
    <mergeCell ref="H10:H11"/>
    <mergeCell ref="H14:H17"/>
    <mergeCell ref="K14:K17"/>
    <mergeCell ref="N14:N17"/>
    <mergeCell ref="Q14:Q17"/>
    <mergeCell ref="W14:W17"/>
    <mergeCell ref="N3:P3"/>
    <mergeCell ref="Q3:S3"/>
    <mergeCell ref="T3:V3"/>
    <mergeCell ref="W3:X3"/>
    <mergeCell ref="T14:T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983f89-a1cb-4442-b4b9-3c8b9e162bd0" xsi:nil="true"/>
    <lcf76f155ced4ddcb4097134ff3c332f xmlns="ee1f67ce-da88-4dfb-a650-0f0da831f46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343D018995924AA519A2847E1AF797" ma:contentTypeVersion="17" ma:contentTypeDescription="Crea un document nou" ma:contentTypeScope="" ma:versionID="2055a849bf5d16c5d08b67cb16db1386">
  <xsd:schema xmlns:xsd="http://www.w3.org/2001/XMLSchema" xmlns:xs="http://www.w3.org/2001/XMLSchema" xmlns:p="http://schemas.microsoft.com/office/2006/metadata/properties" xmlns:ns2="ee1f67ce-da88-4dfb-a650-0f0da831f464" xmlns:ns3="c0983f89-a1cb-4442-b4b9-3c8b9e162bd0" targetNamespace="http://schemas.microsoft.com/office/2006/metadata/properties" ma:root="true" ma:fieldsID="2f78eedc63dba4754cfa6f3e0e196bb1" ns2:_="" ns3:_="">
    <xsd:import namespace="ee1f67ce-da88-4dfb-a650-0f0da831f464"/>
    <xsd:import namespace="c0983f89-a1cb-4442-b4b9-3c8b9e162b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1f67ce-da88-4dfb-a650-0f0da831f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es de la imatge" ma:readOnly="false" ma:fieldId="{5cf76f15-5ced-4ddc-b409-7134ff3c332f}" ma:taxonomyMulti="true" ma:sspId="34c01127-bdf0-454e-9077-a20ba63b60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983f89-a1cb-4442-b4b9-3c8b9e162bd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90f72d4-ddfc-4b6c-b761-d24ad6d64ddd}" ma:internalName="TaxCatchAll" ma:showField="CatchAllData" ma:web="c0983f89-a1cb-4442-b4b9-3c8b9e162b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23DDEC-85AF-4F47-B81A-484BC9413772}">
  <ds:schemaRefs>
    <ds:schemaRef ds:uri="http://schemas.microsoft.com/office/2006/metadata/properties"/>
    <ds:schemaRef ds:uri="http://schemas.microsoft.com/office/infopath/2007/PartnerControls"/>
    <ds:schemaRef ds:uri="c0983f89-a1cb-4442-b4b9-3c8b9e162bd0"/>
    <ds:schemaRef ds:uri="ee1f67ce-da88-4dfb-a650-0f0da831f464"/>
  </ds:schemaRefs>
</ds:datastoreItem>
</file>

<file path=customXml/itemProps2.xml><?xml version="1.0" encoding="utf-8"?>
<ds:datastoreItem xmlns:ds="http://schemas.openxmlformats.org/officeDocument/2006/customXml" ds:itemID="{712F5FBD-3BC9-4BE4-994F-94BDAF4F83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586C4B-FADD-4945-BBC8-8B9B4758C8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1f67ce-da88-4dfb-a650-0f0da831f464"/>
    <ds:schemaRef ds:uri="c0983f89-a1cb-4442-b4b9-3c8b9e162b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Ing. recerca 31.3.2018-2026</vt:lpstr>
      <vt:lpstr>1r trimestre -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Maria Martinez Rodriguez</dc:creator>
  <cp:lastModifiedBy>Ignacio Ferrero Beato</cp:lastModifiedBy>
  <dcterms:created xsi:type="dcterms:W3CDTF">2026-04-22T13:26:48Z</dcterms:created>
  <dcterms:modified xsi:type="dcterms:W3CDTF">2026-06-29T09:09:53Z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0x01010072343D018995924AA519A2847E1AF797</vt:lpwstr>
  </property>
  <property fmtid="{D5CDD505-2E9C-101B-9397-08002B2CF9AE}" pid="3" name="MediaServiceImageTags">
    <vt:lpwstr/>
  </property>
</Properties>
</file>