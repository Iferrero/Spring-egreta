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113853_uab_cat/Documents/UAB/0500 OFICINA VALORITZACIO I PATENTS (OVP)/05004 INFORMES/2025/"/>
    </mc:Choice>
  </mc:AlternateContent>
  <xr:revisionPtr revIDLastSave="4" documentId="8_{C563409A-DC6E-45AE-8A1B-6FD3BFE9CC39}" xr6:coauthVersionLast="47" xr6:coauthVersionMax="47" xr10:uidLastSave="{C9B88326-D851-44E1-AF4B-6E9F61628911}"/>
  <bookViews>
    <workbookView xWindow="-120" yWindow="-120" windowWidth="29040" windowHeight="15720" xr2:uid="{50B6FC00-6B7E-408A-965B-19B08D271D7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C13" i="1"/>
  <c r="J12" i="1"/>
  <c r="K9" i="1"/>
  <c r="I9" i="1"/>
  <c r="G9" i="1"/>
  <c r="F8" i="1"/>
</calcChain>
</file>

<file path=xl/sharedStrings.xml><?xml version="1.0" encoding="utf-8"?>
<sst xmlns="http://schemas.openxmlformats.org/spreadsheetml/2006/main" count="15" uniqueCount="14">
  <si>
    <t>Nous resultats de recerca (invention disclosures)</t>
  </si>
  <si>
    <t>Patents totals sol·licitades (per submission date)</t>
  </si>
  <si>
    <r>
      <t xml:space="preserve">Patents sol·licitades triádiques (EPO; USPTO, JPO) </t>
    </r>
    <r>
      <rPr>
        <sz val="8"/>
        <color theme="1"/>
        <rFont val="Constantia"/>
        <family val="1"/>
      </rPr>
      <t>(U) (R100)</t>
    </r>
    <r>
      <rPr>
        <b/>
        <sz val="11"/>
        <color theme="1"/>
        <rFont val="Constantia"/>
        <family val="1"/>
      </rPr>
      <t xml:space="preserve"> </t>
    </r>
    <r>
      <rPr>
        <i/>
        <sz val="11"/>
        <color theme="1"/>
        <rFont val="Constantia"/>
        <family val="1"/>
      </rPr>
      <t>submission date</t>
    </r>
  </si>
  <si>
    <r>
      <t>Noves patents sol·licitades</t>
    </r>
    <r>
      <rPr>
        <sz val="8"/>
        <color theme="1"/>
        <rFont val="Constantia"/>
        <family val="1"/>
      </rPr>
      <t xml:space="preserve"> (R100)</t>
    </r>
  </si>
  <si>
    <r>
      <t xml:space="preserve">Nombre de patents en la cartera (a 31.12) </t>
    </r>
    <r>
      <rPr>
        <sz val="11"/>
        <color theme="1"/>
        <rFont val="Constantia"/>
        <family val="1"/>
      </rPr>
      <t>/ Patbase = alive</t>
    </r>
  </si>
  <si>
    <r>
      <rPr>
        <sz val="11"/>
        <color theme="1"/>
        <rFont val="Constantia"/>
        <family val="1"/>
      </rPr>
      <t xml:space="preserve">Nombre de projectes de valorització </t>
    </r>
    <r>
      <rPr>
        <u/>
        <sz val="11"/>
        <color theme="1"/>
        <rFont val="Constantia"/>
        <family val="1"/>
      </rPr>
      <t>presentats</t>
    </r>
    <r>
      <rPr>
        <sz val="11"/>
        <color theme="1"/>
        <rFont val="Constantia"/>
        <family val="1"/>
      </rPr>
      <t xml:space="preserve"> assistits en la seva preparació</t>
    </r>
  </si>
  <si>
    <t>Ingressos per projectes de valorització on s'ha participat en la preparació</t>
  </si>
  <si>
    <t>Pressupost en R&amp;D</t>
  </si>
  <si>
    <t>Nombre d'acords de transferència signats</t>
  </si>
  <si>
    <r>
      <t xml:space="preserve">Ingressos per acords de transferència </t>
    </r>
    <r>
      <rPr>
        <b/>
        <sz val="8"/>
        <color theme="1"/>
        <rFont val="Constantia"/>
        <family val="1"/>
      </rPr>
      <t>(U) (C) (T)</t>
    </r>
  </si>
  <si>
    <r>
      <t xml:space="preserve">Import dels convenis de recerca basats en acords de transferència </t>
    </r>
    <r>
      <rPr>
        <b/>
        <sz val="8"/>
        <color theme="1"/>
        <rFont val="Constantia"/>
        <family val="1"/>
      </rPr>
      <t>(UM)</t>
    </r>
  </si>
  <si>
    <t>ND</t>
  </si>
  <si>
    <t>Nombre d'empreses participades creades (EBTs)</t>
  </si>
  <si>
    <t>Empreses participades en cartera (a 31.12)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</si>
</sst>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onstantia"/>
      <family val="1"/>
    </font>
    <font>
      <b/>
      <sz val="11"/>
      <name val="Constantia"/>
      <family val="1"/>
    </font>
    <font>
      <sz val="8"/>
      <color theme="1"/>
      <name val="Constantia"/>
      <family val="1"/>
    </font>
    <font>
      <sz val="11"/>
      <color theme="1"/>
      <name val="Constantia"/>
      <family val="1"/>
    </font>
    <font>
      <i/>
      <sz val="11"/>
      <color theme="1"/>
      <name val="Constantia"/>
      <family val="1"/>
    </font>
    <font>
      <u/>
      <sz val="11"/>
      <color theme="1"/>
      <name val="Constantia"/>
      <family val="1"/>
    </font>
    <font>
      <sz val="11"/>
      <name val="Constantia"/>
      <family val="1"/>
    </font>
    <font>
      <b/>
      <sz val="8"/>
      <color theme="1"/>
      <name val="Constantia"/>
      <family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44" fontId="5" fillId="6" borderId="0" xfId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0" xfId="0" applyFill="1"/>
    <xf numFmtId="44" fontId="2" fillId="5" borderId="0" xfId="1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44" fontId="2" fillId="7" borderId="0" xfId="1" applyFont="1" applyFill="1" applyAlignment="1">
      <alignment horizontal="center"/>
    </xf>
    <xf numFmtId="0" fontId="5" fillId="8" borderId="1" xfId="0" applyFont="1" applyFill="1" applyBorder="1" applyAlignment="1">
      <alignment horizontal="left"/>
    </xf>
    <xf numFmtId="0" fontId="8" fillId="8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314162078764264E-2"/>
          <c:y val="5.7880921817588173E-2"/>
          <c:w val="0.92443190954453225"/>
          <c:h val="0.847243945494059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42-4761-B155-FE3C1A1913A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42-4761-B155-FE3C1A1913A3}"/>
                </c:ext>
              </c:extLst>
            </c:dLbl>
            <c:dLbl>
              <c:idx val="2"/>
              <c:layout>
                <c:manualLayout>
                  <c:x val="-2.4378735478162473E-2"/>
                  <c:y val="6.4651856895702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42-4761-B155-FE3C1A1913A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42-4761-B155-FE3C1A1913A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42-4761-B155-FE3C1A1913A3}"/>
                </c:ext>
              </c:extLst>
            </c:dLbl>
            <c:dLbl>
              <c:idx val="5"/>
              <c:layout>
                <c:manualLayout>
                  <c:x val="-2.5931928687196033E-2"/>
                  <c:y val="-6.70016632591367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42-4761-B155-FE3C1A1913A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42-4761-B155-FE3C1A1913A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42-4761-B155-FE3C1A1913A3}"/>
                </c:ext>
              </c:extLst>
            </c:dLbl>
            <c:dLbl>
              <c:idx val="8"/>
              <c:layout>
                <c:manualLayout>
                  <c:x val="-2.5931928687196109E-2"/>
                  <c:y val="5.3601330607309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42-4761-B155-FE3C1A1913A3}"/>
                </c:ext>
              </c:extLst>
            </c:dLbl>
            <c:dLbl>
              <c:idx val="9"/>
              <c:layout>
                <c:manualLayout>
                  <c:x val="-3.0253916801728953E-2"/>
                  <c:y val="-6.70016632591367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42-4761-B155-FE3C1A1913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a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'[1]grafics 2024'!$G$1:$R$1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'[1]grafics 2024'!$G$2:$R$2</c:f>
              <c:numCache>
                <c:formatCode>General</c:formatCode>
                <c:ptCount val="12"/>
                <c:pt idx="0">
                  <c:v>42</c:v>
                </c:pt>
                <c:pt idx="1">
                  <c:v>44</c:v>
                </c:pt>
                <c:pt idx="2">
                  <c:v>27</c:v>
                </c:pt>
                <c:pt idx="3">
                  <c:v>48</c:v>
                </c:pt>
                <c:pt idx="4">
                  <c:v>50</c:v>
                </c:pt>
                <c:pt idx="5">
                  <c:v>59</c:v>
                </c:pt>
                <c:pt idx="6">
                  <c:v>41</c:v>
                </c:pt>
                <c:pt idx="7">
                  <c:v>30</c:v>
                </c:pt>
                <c:pt idx="8">
                  <c:v>28</c:v>
                </c:pt>
                <c:pt idx="9">
                  <c:v>41</c:v>
                </c:pt>
                <c:pt idx="10">
                  <c:v>42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042-4761-B155-FE3C1A191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12320"/>
        <c:axId val="1983454240"/>
      </c:lineChart>
      <c:catAx>
        <c:axId val="2161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983454240"/>
        <c:crosses val="autoZero"/>
        <c:auto val="1"/>
        <c:lblAlgn val="ctr"/>
        <c:lblOffset val="100"/>
        <c:noMultiLvlLbl val="0"/>
      </c:catAx>
      <c:valAx>
        <c:axId val="198345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61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17425425845241E-2"/>
          <c:y val="4.9019607843137254E-2"/>
          <c:w val="0.88970492688283465"/>
          <c:h val="0.8141706551386959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'https://uab-my.sharepoint.com/personal/1113853_uab_cat/Documents/UAB/0500 OFICINA VALORITZACIO I PATENTS (OVP)/05004 INFORMES/2022/[dades 2022_2.xlsx]finançament de la recerca'!$C$2:$Q$2</c:f>
              <c:numCache>
                <c:formatCode>General</c:formatCode>
                <c:ptCount val="15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'https://uab-my.sharepoint.com/personal/1113853_uab_cat/Documents/UAB/0500 OFICINA VALORITZACIO I PATENTS (OVP)/05004 INFORMES/2022/[dades 2022_2.xlsx]finançament de la recerca'!$A$2:$B$2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'https://uab-my.sharepoint.com/personal/1113853_uab_cat/Documents/UAB/0500 OFICINA VALORITZACIO I PATENTS (OVP)/05004 INFORMES/2022/[dades 2022_2.xlsx]finançament de la recerca'!$D$1:$P$1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  <c:pt idx="11">
                        <c:v>2021</c:v>
                      </c:pt>
                      <c:pt idx="12">
                        <c:v>2022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E60-42A0-BD37-294E09107BA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'https://uab-my.sharepoint.com/personal/1113853_uab_cat/Documents/UAB/0500 OFICINA VALORITZACIO I PATENTS (OVP)/05004 INFORMES/2022/[dades 2022_2.xlsx]finançament de la recerca'!$C$3:$Q$3</c:f>
              <c:numCache>
                <c:formatCode>General</c:formatCode>
                <c:ptCount val="15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'https://uab-my.sharepoint.com/personal/1113853_uab_cat/Documents/UAB/0500 OFICINA VALORITZACIO I PATENTS (OVP)/05004 INFORMES/2022/[dades 2022_2.xlsx]finançament de la recerca'!$A$3:$B$3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'https://uab-my.sharepoint.com/personal/1113853_uab_cat/Documents/UAB/0500 OFICINA VALORITZACIO I PATENTS (OVP)/05004 INFORMES/2022/[dades 2022_2.xlsx]finançament de la recerca'!$D$1:$P$1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  <c:pt idx="11">
                        <c:v>2021</c:v>
                      </c:pt>
                      <c:pt idx="12">
                        <c:v>2022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9E60-42A0-BD37-294E09107BA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'https://uab-my.sharepoint.com/personal/1113853_uab_cat/Documents/UAB/0500 OFICINA VALORITZACIO I PATENTS (OVP)/05004 INFORMES/2022/[dades 2022_2.xlsx]finançament de la recerca'!$C$4:$Q$4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'https://uab-my.sharepoint.com/personal/1113853_uab_cat/Documents/UAB/0500 OFICINA VALORITZACIO I PATENTS (OVP)/05004 INFORMES/2022/[dades 2022_2.xlsx]finançament de la recerca'!$A$4:$B$4</c15:sqref>
                        </c15:formulaRef>
                      </c:ext>
                    </c:extLst>
                    <c:strCache>
                      <c:ptCount val="1"/>
                      <c:pt idx="0">
                        <c:v>Ajudes competitives internacionals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'https://uab-my.sharepoint.com/personal/1113853_uab_cat/Documents/UAB/0500 OFICINA VALORITZACIO I PATENTS (OVP)/05004 INFORMES/2022/[dades 2022_2.xlsx]finançament de la recerca'!$D$1:$P$1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  <c:pt idx="11">
                        <c:v>2021</c:v>
                      </c:pt>
                      <c:pt idx="12">
                        <c:v>2022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9E60-42A0-BD37-294E09107BAD}"/>
            </c:ext>
          </c:extLst>
        </c:ser>
        <c:ser>
          <c:idx val="3"/>
          <c:order val="3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'https://uab-my.sharepoint.com/personal/1113853_uab_cat/Documents/UAB/0500 OFICINA VALORITZACIO I PATENTS (OVP)/05004 INFORMES/2022/[dades 2022_2.xlsx]finançament de la recerca'!$D$5:$P$5</c:f>
              <c:numCache>
                <c:formatCode>General</c:formatCode>
                <c:ptCount val="13"/>
                <c:pt idx="0">
                  <c:v>21333736.57</c:v>
                </c:pt>
                <c:pt idx="1">
                  <c:v>17406150.559999999</c:v>
                </c:pt>
                <c:pt idx="2">
                  <c:v>13526418.439999999</c:v>
                </c:pt>
                <c:pt idx="3">
                  <c:v>5121763.55</c:v>
                </c:pt>
                <c:pt idx="4">
                  <c:v>12816487.15</c:v>
                </c:pt>
                <c:pt idx="5">
                  <c:v>16967281.219999999</c:v>
                </c:pt>
                <c:pt idx="6">
                  <c:v>19801144.859999999</c:v>
                </c:pt>
                <c:pt idx="7">
                  <c:v>5718180.6500000004</c:v>
                </c:pt>
                <c:pt idx="8">
                  <c:v>11315226.57</c:v>
                </c:pt>
                <c:pt idx="9">
                  <c:v>14154841.98</c:v>
                </c:pt>
                <c:pt idx="10">
                  <c:v>12738081.800000001</c:v>
                </c:pt>
                <c:pt idx="11">
                  <c:v>17787827.079999998</c:v>
                </c:pt>
                <c:pt idx="12">
                  <c:v>17313915.059999999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'https://uab-my.sharepoint.com/personal/1113853_uab_cat/Documents/UAB/0500 OFICINA VALORITZACIO I PATENTS (OVP)/05004 INFORMES/2022/[dades 2022_2.xlsx]finançament de la recerca'!$A$5:$B$5</c15:sqref>
                        </c15:formulaRef>
                      </c:ext>
                    </c:extLst>
                    <c:strCache>
                      <c:ptCount val="1"/>
                      <c:pt idx="0">
                        <c:v>Ajudes competitives nacionals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'https://uab-my.sharepoint.com/personal/1113853_uab_cat/Documents/UAB/0500 OFICINA VALORITZACIO I PATENTS (OVP)/05004 INFORMES/2022/[dades 2022_2.xlsx]finançament de la recerca'!$D$1:$P$1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  <c:pt idx="11">
                        <c:v>2021</c:v>
                      </c:pt>
                      <c:pt idx="12">
                        <c:v>2022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9E60-42A0-BD37-294E09107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975216"/>
        <c:axId val="329976656"/>
      </c:lineChart>
      <c:catAx>
        <c:axId val="32997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329976656"/>
        <c:crosses val="autoZero"/>
        <c:auto val="1"/>
        <c:lblAlgn val="ctr"/>
        <c:lblOffset val="100"/>
        <c:noMultiLvlLbl val="0"/>
      </c:catAx>
      <c:valAx>
        <c:axId val="32997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32997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'[1]grafics 2024'!$A$72</c:f>
              <c:strCache>
                <c:ptCount val="1"/>
                <c:pt idx="0">
                  <c:v>Patents totals sol·licitades (per submission date)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89-4252-9B0A-3B518BA8C5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89-4252-9B0A-3B518BA8C5C9}"/>
                </c:ext>
              </c:extLst>
            </c:dLbl>
            <c:dLbl>
              <c:idx val="4"/>
              <c:layout>
                <c:manualLayout>
                  <c:x val="-6.2586618002771779E-2"/>
                  <c:y val="5.79972877702339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89-4252-9B0A-3B518BA8C5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89-4252-9B0A-3B518BA8C5C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89-4252-9B0A-3B518BA8C5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89-4252-9B0A-3B518BA8C5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a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'[1]grafics 2024'!$G$1:$R$1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'[1]grafics 2024'!$G$72:$R$72</c:f>
              <c:numCache>
                <c:formatCode>General</c:formatCode>
                <c:ptCount val="12"/>
                <c:pt idx="1">
                  <c:v>81</c:v>
                </c:pt>
                <c:pt idx="2">
                  <c:v>89</c:v>
                </c:pt>
                <c:pt idx="3">
                  <c:v>122</c:v>
                </c:pt>
                <c:pt idx="4">
                  <c:v>54</c:v>
                </c:pt>
                <c:pt idx="5">
                  <c:v>71</c:v>
                </c:pt>
                <c:pt idx="6">
                  <c:v>56</c:v>
                </c:pt>
                <c:pt idx="7">
                  <c:v>76</c:v>
                </c:pt>
                <c:pt idx="8">
                  <c:v>65</c:v>
                </c:pt>
                <c:pt idx="9">
                  <c:v>57</c:v>
                </c:pt>
                <c:pt idx="10">
                  <c:v>40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289-4252-9B0A-3B518BA8C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430224"/>
        <c:axId val="407597184"/>
      </c:lineChart>
      <c:catAx>
        <c:axId val="14974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407597184"/>
        <c:crosses val="autoZero"/>
        <c:auto val="1"/>
        <c:lblAlgn val="ctr"/>
        <c:lblOffset val="100"/>
        <c:noMultiLvlLbl val="0"/>
      </c:catAx>
      <c:valAx>
        <c:axId val="40759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4974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3D-48C8-8234-D4D9733EAAA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3D-48C8-8234-D4D9733EAAAA}"/>
                </c:ext>
              </c:extLst>
            </c:dLbl>
            <c:dLbl>
              <c:idx val="2"/>
              <c:layout>
                <c:manualLayout>
                  <c:x val="1.2279067768773685E-2"/>
                  <c:y val="-6.8970581946186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3D-48C8-8234-D4D9733EAAAA}"/>
                </c:ext>
              </c:extLst>
            </c:dLbl>
            <c:dLbl>
              <c:idx val="3"/>
              <c:layout>
                <c:manualLayout>
                  <c:x val="-4.9157614737615866E-2"/>
                  <c:y val="6.01334577518159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3D-48C8-8234-D4D9733EAAA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3D-48C8-8234-D4D9733EAAA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3D-48C8-8234-D4D9733EAAAA}"/>
                </c:ext>
              </c:extLst>
            </c:dLbl>
            <c:dLbl>
              <c:idx val="6"/>
              <c:layout>
                <c:manualLayout>
                  <c:x val="1.6413434020886037E-2"/>
                  <c:y val="-6.8970581946186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3D-48C8-8234-D4D9733EAAA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3D-48C8-8234-D4D9733EAAAA}"/>
                </c:ext>
              </c:extLst>
            </c:dLbl>
            <c:dLbl>
              <c:idx val="8"/>
              <c:layout>
                <c:manualLayout>
                  <c:x val="-4.7090431611559687E-2"/>
                  <c:y val="6.4585321189678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3D-48C8-8234-D4D9733EAAAA}"/>
                </c:ext>
              </c:extLst>
            </c:dLbl>
            <c:dLbl>
              <c:idx val="9"/>
              <c:layout>
                <c:manualLayout>
                  <c:x val="-2.2284234098885729E-2"/>
                  <c:y val="-0.10013362601122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3D-48C8-8234-D4D9733EAA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a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'[1]grafics 2024'!$G$98:$R$98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'[1]grafics 2024'!$G$99:$R$99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5</c:v>
                </c:pt>
                <c:pt idx="4">
                  <c:v>9</c:v>
                </c:pt>
                <c:pt idx="5">
                  <c:v>6</c:v>
                </c:pt>
                <c:pt idx="6">
                  <c:v>11</c:v>
                </c:pt>
                <c:pt idx="7">
                  <c:v>9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253D-48C8-8234-D4D9733EA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954272"/>
        <c:axId val="1961858784"/>
      </c:lineChart>
      <c:catAx>
        <c:axId val="15489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961858784"/>
        <c:crosses val="autoZero"/>
        <c:auto val="1"/>
        <c:lblAlgn val="ctr"/>
        <c:lblOffset val="100"/>
        <c:noMultiLvlLbl val="0"/>
      </c:catAx>
      <c:valAx>
        <c:axId val="196185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54895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'[1]grafics 2024'!$G$161</c:f>
              <c:strCache>
                <c:ptCount val="1"/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accent6">
                  <a:lumMod val="20000"/>
                  <a:lumOff val="80000"/>
                </a:schemeClr>
              </a:solidFill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0317905563347349E-2"/>
                      <c:h val="2.587635465195884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E45-45BE-AA54-61F81AE149B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45-45BE-AA54-61F81AE149B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45-45BE-AA54-61F81AE149B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45-45BE-AA54-61F81AE149B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45-45BE-AA54-61F81AE149B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45-45BE-AA54-61F81AE149B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45-45BE-AA54-61F81AE149B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45-45BE-AA54-61F81AE149B2}"/>
                </c:ext>
              </c:extLst>
            </c:dLbl>
            <c:dLbl>
              <c:idx val="8"/>
              <c:layout>
                <c:manualLayout>
                  <c:x val="-1.8700327255726976E-3"/>
                  <c:y val="-0.466472255613736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45-45BE-AA54-61F81AE149B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45-45BE-AA54-61F81AE149B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45-45BE-AA54-61F81AE149B2}"/>
                </c:ext>
              </c:extLst>
            </c:dLbl>
            <c:dLbl>
              <c:idx val="11"/>
              <c:layout>
                <c:manualLayout>
                  <c:x val="-3.2012805122051168E-3"/>
                  <c:y val="-0.443559096945551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45-45BE-AA54-61F81AE149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a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'[1]grafics 2024'!$H$154:$S$154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'[1]grafics 2024'!$H$161:$S$161</c:f>
              <c:numCache>
                <c:formatCode>General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16</c:v>
                </c:pt>
                <c:pt idx="9" formatCode="_(&quot;€&quot;* #,##0.00_);_(&quot;€&quot;* \(#,##0.00\);_(&quot;€&quot;* &quot;-&quot;??_);_(@_)">
                  <c:v>14</c:v>
                </c:pt>
                <c:pt idx="10">
                  <c:v>16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45-45BE-AA54-61F81AE14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7536"/>
        <c:axId val="62414272"/>
      </c:areaChart>
      <c:catAx>
        <c:axId val="16988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62414272"/>
        <c:crosses val="autoZero"/>
        <c:auto val="1"/>
        <c:lblAlgn val="ctr"/>
        <c:lblOffset val="100"/>
        <c:noMultiLvlLbl val="0"/>
      </c:catAx>
      <c:valAx>
        <c:axId val="6241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6988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 w="2540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xVal>
            <c:numRef>
              <c:f>'[1]grafics 2024'!$G$105:$G$116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xVal>
          <c:yVal>
            <c:numRef>
              <c:f>'[1]grafics 2024'!$I$105:$I$116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bubbleSize>
            <c:numRef>
              <c:f>'[1]grafics 2024'!$H$105:$H$116</c:f>
              <c:numCache>
                <c:formatCode>_("€"* #,##0.00_);_("€"* \(#,##0.00\);_("€"* "-"??_);_(@_)</c:formatCode>
                <c:ptCount val="12"/>
                <c:pt idx="0">
                  <c:v>57456.25</c:v>
                </c:pt>
                <c:pt idx="1">
                  <c:v>59749.279999999999</c:v>
                </c:pt>
                <c:pt idx="2">
                  <c:v>111468</c:v>
                </c:pt>
                <c:pt idx="3">
                  <c:v>174000</c:v>
                </c:pt>
                <c:pt idx="4">
                  <c:v>264884.60709999996</c:v>
                </c:pt>
                <c:pt idx="5">
                  <c:v>170094.36132975208</c:v>
                </c:pt>
                <c:pt idx="6">
                  <c:v>1771024.18</c:v>
                </c:pt>
                <c:pt idx="7">
                  <c:v>78857.149999999994</c:v>
                </c:pt>
                <c:pt idx="8">
                  <c:v>202319.25000000003</c:v>
                </c:pt>
                <c:pt idx="9">
                  <c:v>699785</c:v>
                </c:pt>
                <c:pt idx="10">
                  <c:v>506760</c:v>
                </c:pt>
                <c:pt idx="11">
                  <c:v>533888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9BAA-43E5-B57E-A90FA3A12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9986816"/>
        <c:axId val="330581696"/>
      </c:bubbleChart>
      <c:valAx>
        <c:axId val="5998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330581696"/>
        <c:crosses val="autoZero"/>
        <c:crossBetween val="midCat"/>
        <c:majorUnit val="1"/>
        <c:minorUnit val="1"/>
      </c:valAx>
      <c:valAx>
        <c:axId val="330581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98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674050861040482E-17"/>
                  <c:y val="-5.34223612543458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FE-4BD4-8602-DFFBC013CAF4}"/>
                </c:ext>
              </c:extLst>
            </c:dLbl>
            <c:dLbl>
              <c:idx val="1"/>
              <c:layout>
                <c:manualLayout>
                  <c:x val="-4.3656201114149792E-2"/>
                  <c:y val="-8.0133541881518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FE-4BD4-8602-DFFBC013CAF4}"/>
                </c:ext>
              </c:extLst>
            </c:dLbl>
            <c:dLbl>
              <c:idx val="2"/>
              <c:layout>
                <c:manualLayout>
                  <c:x val="5.4570251392686573E-3"/>
                  <c:y val="-5.34223612543458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FE-4BD4-8602-DFFBC013CAF4}"/>
                </c:ext>
              </c:extLst>
            </c:dLbl>
            <c:dLbl>
              <c:idx val="3"/>
              <c:layout>
                <c:manualLayout>
                  <c:x val="9.0950418987812073E-3"/>
                  <c:y val="8.4585405319380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FE-4BD4-8602-DFFBC013CAF4}"/>
                </c:ext>
              </c:extLst>
            </c:dLbl>
            <c:dLbl>
              <c:idx val="4"/>
              <c:layout>
                <c:manualLayout>
                  <c:x val="-1.8190083797562481E-2"/>
                  <c:y val="-6.6777951567932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FE-4BD4-8602-DFFBC013CAF4}"/>
                </c:ext>
              </c:extLst>
            </c:dLbl>
            <c:dLbl>
              <c:idx val="5"/>
              <c:layout>
                <c:manualLayout>
                  <c:x val="1.0914050278537315E-2"/>
                  <c:y val="5.34223612543458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FE-4BD4-8602-DFFBC013CAF4}"/>
                </c:ext>
              </c:extLst>
            </c:dLbl>
            <c:dLbl>
              <c:idx val="6"/>
              <c:layout>
                <c:manualLayout>
                  <c:x val="0"/>
                  <c:y val="-6.23260881300702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FE-4BD4-8602-DFFBC013CAF4}"/>
                </c:ext>
              </c:extLst>
            </c:dLbl>
            <c:dLbl>
              <c:idx val="7"/>
              <c:layout>
                <c:manualLayout>
                  <c:x val="-1.0914050278537448E-2"/>
                  <c:y val="-8.0133541881518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FE-4BD4-8602-DFFBC013CA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Hoja1!$C$2:$K$2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Hoja1!$C$14:$K$14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0FE-4BD4-8602-DFFBC013C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954272"/>
        <c:axId val="1961858784"/>
      </c:lineChart>
      <c:catAx>
        <c:axId val="15489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961858784"/>
        <c:crosses val="autoZero"/>
        <c:auto val="1"/>
        <c:lblAlgn val="ctr"/>
        <c:lblOffset val="100"/>
        <c:noMultiLvlLbl val="0"/>
      </c:catAx>
      <c:valAx>
        <c:axId val="196185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54895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15</xdr:row>
      <xdr:rowOff>104775</xdr:rowOff>
    </xdr:from>
    <xdr:to>
      <xdr:col>3</xdr:col>
      <xdr:colOff>329565</xdr:colOff>
      <xdr:row>30</xdr:row>
      <xdr:rowOff>90488</xdr:rowOff>
    </xdr:to>
    <xdr:graphicFrame macro="">
      <xdr:nvGraphicFramePr>
        <xdr:cNvPr id="2" name="Gràfic 1">
          <a:extLst>
            <a:ext uri="{FF2B5EF4-FFF2-40B4-BE49-F238E27FC236}">
              <a16:creationId xmlns:a16="http://schemas.microsoft.com/office/drawing/2014/main" id="{1666FCB2-7505-44D8-8946-D5950EF08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57150</xdr:rowOff>
    </xdr:from>
    <xdr:to>
      <xdr:col>3</xdr:col>
      <xdr:colOff>533399</xdr:colOff>
      <xdr:row>43</xdr:row>
      <xdr:rowOff>102870</xdr:rowOff>
    </xdr:to>
    <xdr:graphicFrame macro="">
      <xdr:nvGraphicFramePr>
        <xdr:cNvPr id="3" name="Gràfic 2">
          <a:extLst>
            <a:ext uri="{FF2B5EF4-FFF2-40B4-BE49-F238E27FC236}">
              <a16:creationId xmlns:a16="http://schemas.microsoft.com/office/drawing/2014/main" id="{76C262AB-4BBB-4985-A160-E4D16BE07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104775</xdr:colOff>
      <xdr:row>15</xdr:row>
      <xdr:rowOff>171450</xdr:rowOff>
    </xdr:from>
    <xdr:to>
      <xdr:col>9</xdr:col>
      <xdr:colOff>904876</xdr:colOff>
      <xdr:row>34</xdr:row>
      <xdr:rowOff>166688</xdr:rowOff>
    </xdr:to>
    <xdr:graphicFrame macro="">
      <xdr:nvGraphicFramePr>
        <xdr:cNvPr id="4" name="Gràfic 37">
          <a:extLst>
            <a:ext uri="{FF2B5EF4-FFF2-40B4-BE49-F238E27FC236}">
              <a16:creationId xmlns:a16="http://schemas.microsoft.com/office/drawing/2014/main" id="{D923456E-1C13-4130-923E-A68D3B92C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18</xdr:col>
      <xdr:colOff>19051</xdr:colOff>
      <xdr:row>30</xdr:row>
      <xdr:rowOff>185738</xdr:rowOff>
    </xdr:to>
    <xdr:graphicFrame macro="">
      <xdr:nvGraphicFramePr>
        <xdr:cNvPr id="5" name="Gràfic 10">
          <a:extLst>
            <a:ext uri="{FF2B5EF4-FFF2-40B4-BE49-F238E27FC236}">
              <a16:creationId xmlns:a16="http://schemas.microsoft.com/office/drawing/2014/main" id="{D53DF58C-39D6-497D-A686-F5F9CCB26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238125</xdr:colOff>
      <xdr:row>31</xdr:row>
      <xdr:rowOff>57150</xdr:rowOff>
    </xdr:from>
    <xdr:to>
      <xdr:col>28</xdr:col>
      <xdr:colOff>552450</xdr:colOff>
      <xdr:row>56</xdr:row>
      <xdr:rowOff>76200</xdr:rowOff>
    </xdr:to>
    <xdr:graphicFrame macro="">
      <xdr:nvGraphicFramePr>
        <xdr:cNvPr id="6" name="Gràfic 24">
          <a:extLst>
            <a:ext uri="{FF2B5EF4-FFF2-40B4-BE49-F238E27FC236}">
              <a16:creationId xmlns:a16="http://schemas.microsoft.com/office/drawing/2014/main" id="{9F14049F-50D5-44C1-8F92-1851DE07B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</xdr:colOff>
      <xdr:row>32</xdr:row>
      <xdr:rowOff>0</xdr:rowOff>
    </xdr:from>
    <xdr:to>
      <xdr:col>17</xdr:col>
      <xdr:colOff>752476</xdr:colOff>
      <xdr:row>46</xdr:row>
      <xdr:rowOff>76200</xdr:rowOff>
    </xdr:to>
    <xdr:graphicFrame macro="">
      <xdr:nvGraphicFramePr>
        <xdr:cNvPr id="7" name="Gràfic 12">
          <a:extLst>
            <a:ext uri="{FF2B5EF4-FFF2-40B4-BE49-F238E27FC236}">
              <a16:creationId xmlns:a16="http://schemas.microsoft.com/office/drawing/2014/main" id="{8B70DA12-2248-45B9-978C-8E8EA85A6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285750</xdr:colOff>
      <xdr:row>16</xdr:row>
      <xdr:rowOff>0</xdr:rowOff>
    </xdr:from>
    <xdr:to>
      <xdr:col>27</xdr:col>
      <xdr:colOff>409576</xdr:colOff>
      <xdr:row>30</xdr:row>
      <xdr:rowOff>185738</xdr:rowOff>
    </xdr:to>
    <xdr:graphicFrame macro="">
      <xdr:nvGraphicFramePr>
        <xdr:cNvPr id="8" name="Gràfic 10">
          <a:extLst>
            <a:ext uri="{FF2B5EF4-FFF2-40B4-BE49-F238E27FC236}">
              <a16:creationId xmlns:a16="http://schemas.microsoft.com/office/drawing/2014/main" id="{04207A48-6F3A-4706-B4D0-A8D1D63A1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ab-my.sharepoint.com/personal/1113853_uab_cat/Documents/UAB/0500%20OFICINA%20VALORITZACIO%20I%20PATENTS%20(OVP)/05004%20INFORMES/2024/dades%202024%20-%20v2.xlsx" TargetMode="External"/><Relationship Id="rId1" Type="http://schemas.openxmlformats.org/officeDocument/2006/relationships/externalLinkPath" Target="/personal/1113853_uab_cat/Documents/UAB/0500%20OFICINA%20VALORITZACIO%20I%20PATENTS%20(OVP)/05004%20INFORMES/2024/dades%202024%20-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ADORS UAB"/>
      <sheetName val="finançament"/>
      <sheetName val="T-2024"/>
      <sheetName val="P-2024"/>
      <sheetName val="Contactes empreses"/>
      <sheetName val="Contactes investigadors"/>
      <sheetName val="Concordance table"/>
      <sheetName val="IFRIS"/>
      <sheetName val="grafics 2024"/>
      <sheetName val="Hoja2"/>
      <sheetName val="grafics"/>
      <sheetName val="Full2"/>
      <sheetName val="dashboard recerca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G1">
            <v>2014</v>
          </cell>
          <cell r="H1">
            <v>2015</v>
          </cell>
          <cell r="I1">
            <v>2016</v>
          </cell>
          <cell r="J1">
            <v>2017</v>
          </cell>
          <cell r="K1">
            <v>2018</v>
          </cell>
          <cell r="L1">
            <v>2019</v>
          </cell>
          <cell r="M1">
            <v>2020</v>
          </cell>
          <cell r="N1">
            <v>2021</v>
          </cell>
          <cell r="O1">
            <v>2022</v>
          </cell>
          <cell r="P1">
            <v>2023</v>
          </cell>
          <cell r="Q1">
            <v>2024</v>
          </cell>
          <cell r="R1">
            <v>2025</v>
          </cell>
        </row>
        <row r="2">
          <cell r="G2">
            <v>42</v>
          </cell>
          <cell r="H2">
            <v>44</v>
          </cell>
          <cell r="I2">
            <v>27</v>
          </cell>
          <cell r="J2">
            <v>48</v>
          </cell>
          <cell r="K2">
            <v>50</v>
          </cell>
          <cell r="L2">
            <v>59</v>
          </cell>
          <cell r="M2">
            <v>41</v>
          </cell>
          <cell r="N2">
            <v>30</v>
          </cell>
          <cell r="O2">
            <v>28</v>
          </cell>
          <cell r="P2">
            <v>41</v>
          </cell>
          <cell r="Q2">
            <v>42</v>
          </cell>
          <cell r="R2">
            <v>60</v>
          </cell>
        </row>
        <row r="72">
          <cell r="A72" t="str">
            <v>Patents totals sol·licitades (per submission date)</v>
          </cell>
          <cell r="H72">
            <v>81</v>
          </cell>
          <cell r="I72">
            <v>89</v>
          </cell>
          <cell r="J72">
            <v>122</v>
          </cell>
          <cell r="K72">
            <v>54</v>
          </cell>
          <cell r="L72">
            <v>71</v>
          </cell>
          <cell r="M72">
            <v>56</v>
          </cell>
          <cell r="N72">
            <v>76</v>
          </cell>
          <cell r="O72">
            <v>65</v>
          </cell>
          <cell r="P72">
            <v>57</v>
          </cell>
          <cell r="Q72">
            <v>40</v>
          </cell>
          <cell r="R72">
            <v>74</v>
          </cell>
        </row>
        <row r="98">
          <cell r="G98">
            <v>2014</v>
          </cell>
          <cell r="H98">
            <v>2015</v>
          </cell>
          <cell r="I98">
            <v>2016</v>
          </cell>
          <cell r="J98">
            <v>2017</v>
          </cell>
          <cell r="K98">
            <v>2018</v>
          </cell>
          <cell r="L98">
            <v>2019</v>
          </cell>
          <cell r="M98">
            <v>2020</v>
          </cell>
          <cell r="N98">
            <v>2021</v>
          </cell>
          <cell r="O98">
            <v>2022</v>
          </cell>
          <cell r="P98">
            <v>2023</v>
          </cell>
          <cell r="Q98">
            <v>2024</v>
          </cell>
          <cell r="R98">
            <v>2025</v>
          </cell>
        </row>
        <row r="99">
          <cell r="G99">
            <v>10</v>
          </cell>
          <cell r="H99">
            <v>10</v>
          </cell>
          <cell r="I99">
            <v>11</v>
          </cell>
          <cell r="J99">
            <v>5</v>
          </cell>
          <cell r="K99">
            <v>9</v>
          </cell>
          <cell r="L99">
            <v>6</v>
          </cell>
          <cell r="M99">
            <v>11</v>
          </cell>
          <cell r="N99">
            <v>9</v>
          </cell>
          <cell r="O99">
            <v>6</v>
          </cell>
          <cell r="P99">
            <v>8</v>
          </cell>
          <cell r="Q99">
            <v>2</v>
          </cell>
          <cell r="R99">
            <v>4</v>
          </cell>
        </row>
        <row r="105">
          <cell r="G105">
            <v>2014</v>
          </cell>
          <cell r="H105">
            <v>57456.25</v>
          </cell>
          <cell r="I105">
            <v>0</v>
          </cell>
        </row>
        <row r="106">
          <cell r="G106">
            <v>2015</v>
          </cell>
          <cell r="H106">
            <v>59749.279999999999</v>
          </cell>
          <cell r="I106">
            <v>0</v>
          </cell>
        </row>
        <row r="107">
          <cell r="G107">
            <v>2016</v>
          </cell>
          <cell r="H107">
            <v>111468</v>
          </cell>
          <cell r="I107">
            <v>0</v>
          </cell>
        </row>
        <row r="108">
          <cell r="G108">
            <v>2017</v>
          </cell>
          <cell r="H108">
            <v>174000</v>
          </cell>
          <cell r="I108">
            <v>0</v>
          </cell>
        </row>
        <row r="109">
          <cell r="G109">
            <v>2018</v>
          </cell>
          <cell r="H109">
            <v>264884.60709999996</v>
          </cell>
          <cell r="I109">
            <v>0</v>
          </cell>
        </row>
        <row r="110">
          <cell r="G110">
            <v>2019</v>
          </cell>
          <cell r="H110">
            <v>170094.36132975208</v>
          </cell>
          <cell r="I110">
            <v>0</v>
          </cell>
        </row>
        <row r="111">
          <cell r="G111">
            <v>2020</v>
          </cell>
          <cell r="H111">
            <v>1771024.18</v>
          </cell>
          <cell r="I111">
            <v>0</v>
          </cell>
        </row>
        <row r="112">
          <cell r="G112">
            <v>2021</v>
          </cell>
          <cell r="H112">
            <v>78857.149999999994</v>
          </cell>
          <cell r="I112">
            <v>0</v>
          </cell>
        </row>
        <row r="113">
          <cell r="G113">
            <v>2022</v>
          </cell>
          <cell r="H113">
            <v>202319.25000000003</v>
          </cell>
          <cell r="I113">
            <v>0</v>
          </cell>
        </row>
        <row r="114">
          <cell r="G114">
            <v>2023</v>
          </cell>
          <cell r="H114">
            <v>699785</v>
          </cell>
          <cell r="I114">
            <v>0</v>
          </cell>
        </row>
        <row r="115">
          <cell r="G115">
            <v>2024</v>
          </cell>
          <cell r="H115">
            <v>506760</v>
          </cell>
          <cell r="I115">
            <v>0</v>
          </cell>
        </row>
        <row r="116">
          <cell r="G116">
            <v>2025</v>
          </cell>
          <cell r="H116">
            <v>533888</v>
          </cell>
          <cell r="I116">
            <v>0</v>
          </cell>
        </row>
        <row r="154">
          <cell r="H154">
            <v>2014</v>
          </cell>
          <cell r="I154">
            <v>2015</v>
          </cell>
          <cell r="J154">
            <v>2016</v>
          </cell>
          <cell r="K154">
            <v>2017</v>
          </cell>
          <cell r="L154">
            <v>2018</v>
          </cell>
          <cell r="M154">
            <v>2019</v>
          </cell>
          <cell r="N154">
            <v>2020</v>
          </cell>
          <cell r="O154">
            <v>2021</v>
          </cell>
          <cell r="P154">
            <v>2022</v>
          </cell>
          <cell r="Q154">
            <v>2023</v>
          </cell>
          <cell r="R154">
            <v>2024</v>
          </cell>
          <cell r="S154">
            <v>2025</v>
          </cell>
        </row>
        <row r="161">
          <cell r="H161">
            <v>5</v>
          </cell>
          <cell r="I161">
            <v>9</v>
          </cell>
          <cell r="J161">
            <v>10</v>
          </cell>
          <cell r="K161">
            <v>10</v>
          </cell>
          <cell r="L161">
            <v>13</v>
          </cell>
          <cell r="M161">
            <v>12</v>
          </cell>
          <cell r="N161">
            <v>13</v>
          </cell>
          <cell r="O161">
            <v>16</v>
          </cell>
          <cell r="P161">
            <v>16</v>
          </cell>
          <cell r="Q161">
            <v>14</v>
          </cell>
          <cell r="R161">
            <v>16</v>
          </cell>
          <cell r="S161">
            <v>14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C8F4-E59A-4052-A8A5-D7E6043B5531}">
  <dimension ref="B2:K15"/>
  <sheetViews>
    <sheetView tabSelected="1" workbookViewId="0">
      <selection activeCell="Q19" sqref="Q19"/>
    </sheetView>
  </sheetViews>
  <sheetFormatPr baseColWidth="10" defaultRowHeight="15" x14ac:dyDescent="0.25"/>
  <cols>
    <col min="1" max="1" width="3.7109375" customWidth="1"/>
    <col min="2" max="2" width="77.85546875" bestFit="1" customWidth="1"/>
    <col min="3" max="3" width="18" bestFit="1" customWidth="1"/>
    <col min="4" max="4" width="17.85546875" bestFit="1" customWidth="1"/>
    <col min="5" max="5" width="17.5703125" bestFit="1" customWidth="1"/>
    <col min="6" max="7" width="17.140625" bestFit="1" customWidth="1"/>
    <col min="8" max="8" width="17.5703125" bestFit="1" customWidth="1"/>
    <col min="9" max="10" width="16.140625" bestFit="1" customWidth="1"/>
    <col min="11" max="11" width="17.28515625" bestFit="1" customWidth="1"/>
  </cols>
  <sheetData>
    <row r="2" spans="2:11" x14ac:dyDescent="0.25">
      <c r="C2" s="1">
        <v>2017</v>
      </c>
      <c r="D2" s="1">
        <v>2018</v>
      </c>
      <c r="E2" s="1">
        <v>2019</v>
      </c>
      <c r="F2" s="1">
        <v>2020</v>
      </c>
      <c r="G2" s="1">
        <v>2021</v>
      </c>
      <c r="H2" s="1">
        <v>2022</v>
      </c>
      <c r="I2" s="1">
        <v>2023</v>
      </c>
      <c r="J2" s="1">
        <v>2024</v>
      </c>
      <c r="K2" s="1">
        <v>2025</v>
      </c>
    </row>
    <row r="3" spans="2:11" x14ac:dyDescent="0.25">
      <c r="B3" s="2" t="s">
        <v>0</v>
      </c>
      <c r="C3" s="3">
        <v>48</v>
      </c>
      <c r="D3" s="4">
        <v>50</v>
      </c>
      <c r="E3" s="4">
        <v>59</v>
      </c>
      <c r="F3" s="4">
        <v>41</v>
      </c>
      <c r="G3" s="4">
        <v>30</v>
      </c>
      <c r="H3" s="4">
        <v>28</v>
      </c>
      <c r="I3" s="4">
        <v>41</v>
      </c>
      <c r="J3" s="4">
        <v>42</v>
      </c>
      <c r="K3" s="4">
        <v>60</v>
      </c>
    </row>
    <row r="4" spans="2:11" x14ac:dyDescent="0.25">
      <c r="B4" s="6" t="s">
        <v>3</v>
      </c>
      <c r="C4" s="5">
        <v>18</v>
      </c>
      <c r="D4" s="5">
        <v>13</v>
      </c>
      <c r="E4" s="5">
        <v>16</v>
      </c>
      <c r="F4" s="5">
        <v>10</v>
      </c>
      <c r="G4" s="5">
        <v>9</v>
      </c>
      <c r="H4" s="5">
        <v>17</v>
      </c>
      <c r="I4" s="5">
        <v>9</v>
      </c>
      <c r="J4" s="5">
        <v>12</v>
      </c>
      <c r="K4" s="5">
        <v>16</v>
      </c>
    </row>
    <row r="5" spans="2:11" x14ac:dyDescent="0.25">
      <c r="B5" s="6" t="s">
        <v>1</v>
      </c>
      <c r="C5" s="5">
        <v>122</v>
      </c>
      <c r="D5" s="5">
        <v>54</v>
      </c>
      <c r="E5" s="5">
        <v>71</v>
      </c>
      <c r="F5" s="5">
        <v>56</v>
      </c>
      <c r="G5" s="5">
        <v>76</v>
      </c>
      <c r="H5" s="5">
        <v>65</v>
      </c>
      <c r="I5" s="5">
        <v>57</v>
      </c>
      <c r="J5" s="5">
        <v>40</v>
      </c>
      <c r="K5" s="5">
        <v>74</v>
      </c>
    </row>
    <row r="6" spans="2:11" x14ac:dyDescent="0.25">
      <c r="B6" s="6" t="s">
        <v>2</v>
      </c>
      <c r="C6" s="5">
        <v>40</v>
      </c>
      <c r="D6" s="5">
        <v>31</v>
      </c>
      <c r="E6" s="5">
        <v>30</v>
      </c>
      <c r="F6" s="5">
        <v>29</v>
      </c>
      <c r="G6" s="5">
        <v>32</v>
      </c>
      <c r="H6" s="5">
        <v>39</v>
      </c>
      <c r="I6" s="5">
        <v>26</v>
      </c>
      <c r="J6" s="5">
        <v>25</v>
      </c>
      <c r="K6" s="5">
        <v>37</v>
      </c>
    </row>
    <row r="7" spans="2:11" x14ac:dyDescent="0.25">
      <c r="B7" s="6" t="s">
        <v>4</v>
      </c>
      <c r="C7" s="5"/>
      <c r="D7" s="5"/>
      <c r="E7" s="5"/>
      <c r="F7" s="5"/>
      <c r="G7" s="5"/>
      <c r="H7" s="5"/>
      <c r="I7" s="5">
        <v>613</v>
      </c>
      <c r="J7" s="5">
        <v>667</v>
      </c>
      <c r="K7" s="5">
        <v>716</v>
      </c>
    </row>
    <row r="8" spans="2:11" x14ac:dyDescent="0.25">
      <c r="B8" s="7" t="s">
        <v>5</v>
      </c>
      <c r="C8" s="8">
        <v>24</v>
      </c>
      <c r="D8" s="8">
        <v>26</v>
      </c>
      <c r="E8" s="8">
        <v>12</v>
      </c>
      <c r="F8" s="8">
        <f>9+13</f>
        <v>22</v>
      </c>
      <c r="G8" s="8">
        <v>28</v>
      </c>
      <c r="H8" s="8">
        <v>14</v>
      </c>
      <c r="I8" s="8">
        <v>23</v>
      </c>
      <c r="J8" s="8">
        <v>24</v>
      </c>
      <c r="K8" s="8">
        <v>45</v>
      </c>
    </row>
    <row r="9" spans="2:11" x14ac:dyDescent="0.25">
      <c r="B9" s="7" t="s">
        <v>6</v>
      </c>
      <c r="C9" s="16">
        <v>778839</v>
      </c>
      <c r="D9" s="16">
        <v>844281.25</v>
      </c>
      <c r="E9" s="16">
        <v>150000</v>
      </c>
      <c r="F9" s="16">
        <v>760996.38</v>
      </c>
      <c r="G9" s="16">
        <f>20000+499000+150000+147500+150000+149128+149561+112320+13000+144000+105000+150000+149995+150000+150000</f>
        <v>2239504</v>
      </c>
      <c r="H9" s="16">
        <v>585000</v>
      </c>
      <c r="I9" s="16">
        <f>750000+186000+100000+84000*4+45000*2+150000</f>
        <v>1612000</v>
      </c>
      <c r="J9" s="16">
        <v>800000</v>
      </c>
      <c r="K9" s="16">
        <f>1180000+5*150000</f>
        <v>1930000</v>
      </c>
    </row>
    <row r="10" spans="2:11" x14ac:dyDescent="0.25">
      <c r="B10" s="9" t="s">
        <v>7</v>
      </c>
      <c r="C10" s="13">
        <v>129400880</v>
      </c>
      <c r="D10" s="13">
        <v>130695006</v>
      </c>
      <c r="E10" s="13">
        <v>133983569</v>
      </c>
      <c r="F10" s="13">
        <v>135535473</v>
      </c>
      <c r="G10" s="13">
        <v>175533363</v>
      </c>
      <c r="H10" s="13">
        <v>184604178</v>
      </c>
      <c r="I10" s="14"/>
      <c r="J10" s="15"/>
      <c r="K10" s="15"/>
    </row>
    <row r="11" spans="2:11" x14ac:dyDescent="0.25">
      <c r="B11" s="10" t="s">
        <v>8</v>
      </c>
      <c r="C11" s="11">
        <v>5</v>
      </c>
      <c r="D11" s="12">
        <v>9</v>
      </c>
      <c r="E11" s="12">
        <v>6</v>
      </c>
      <c r="F11" s="12">
        <v>11</v>
      </c>
      <c r="G11" s="12">
        <v>9</v>
      </c>
      <c r="H11" s="12">
        <v>6</v>
      </c>
      <c r="I11" s="11">
        <v>8</v>
      </c>
      <c r="J11" s="12">
        <v>2</v>
      </c>
      <c r="K11" s="12">
        <v>4</v>
      </c>
    </row>
    <row r="12" spans="2:11" x14ac:dyDescent="0.25">
      <c r="B12" s="17" t="s">
        <v>9</v>
      </c>
      <c r="C12" s="18">
        <v>174000</v>
      </c>
      <c r="D12" s="18">
        <v>264884.60709999996</v>
      </c>
      <c r="E12" s="18">
        <v>170094.36132975208</v>
      </c>
      <c r="F12" s="18">
        <v>1771024.18</v>
      </c>
      <c r="G12" s="18">
        <v>78857.149999999994</v>
      </c>
      <c r="H12" s="18">
        <v>202319.25000000003</v>
      </c>
      <c r="I12" s="18">
        <v>699785.34</v>
      </c>
      <c r="J12" s="18">
        <f>826760.26-320000</f>
        <v>506760.26</v>
      </c>
      <c r="K12" s="18">
        <v>533888</v>
      </c>
    </row>
    <row r="13" spans="2:11" x14ac:dyDescent="0.25">
      <c r="B13" s="17" t="s">
        <v>10</v>
      </c>
      <c r="C13" s="18">
        <f>6683000/2</f>
        <v>3341500</v>
      </c>
      <c r="D13" s="18">
        <f>6683000/2</f>
        <v>3341500</v>
      </c>
      <c r="E13" s="18">
        <v>2345754.29</v>
      </c>
      <c r="F13" s="18">
        <v>1559163.01</v>
      </c>
      <c r="G13" s="18">
        <v>1001700</v>
      </c>
      <c r="H13" s="18">
        <v>15000</v>
      </c>
      <c r="I13" s="18">
        <v>1489079.46875</v>
      </c>
      <c r="J13" s="18" t="s">
        <v>11</v>
      </c>
      <c r="K13" s="18" t="s">
        <v>11</v>
      </c>
    </row>
    <row r="14" spans="2:11" x14ac:dyDescent="0.25">
      <c r="B14" s="19" t="s">
        <v>12</v>
      </c>
      <c r="C14" s="20">
        <v>1</v>
      </c>
      <c r="D14" s="20">
        <v>0</v>
      </c>
      <c r="E14" s="20">
        <v>4</v>
      </c>
      <c r="F14" s="20">
        <v>1</v>
      </c>
      <c r="G14" s="20">
        <v>2</v>
      </c>
      <c r="H14" s="20">
        <v>1</v>
      </c>
      <c r="I14" s="20">
        <v>2</v>
      </c>
      <c r="J14" s="20">
        <v>0</v>
      </c>
      <c r="K14" s="20">
        <v>1</v>
      </c>
    </row>
    <row r="15" spans="2:11" x14ac:dyDescent="0.25">
      <c r="B15" s="19" t="s">
        <v>13</v>
      </c>
      <c r="C15" s="20">
        <v>10</v>
      </c>
      <c r="D15" s="20">
        <v>10</v>
      </c>
      <c r="E15" s="20">
        <v>13</v>
      </c>
      <c r="F15" s="20">
        <v>12</v>
      </c>
      <c r="G15" s="20">
        <v>13</v>
      </c>
      <c r="H15" s="20">
        <v>16</v>
      </c>
      <c r="I15" s="20">
        <v>14</v>
      </c>
      <c r="J15" s="20">
        <v>16</v>
      </c>
      <c r="K15" s="20">
        <v>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Vallve Sanchez</dc:creator>
  <cp:lastModifiedBy>Xavier Vallve Sanchez</cp:lastModifiedBy>
  <dcterms:created xsi:type="dcterms:W3CDTF">2026-01-13T18:25:23Z</dcterms:created>
  <dcterms:modified xsi:type="dcterms:W3CDTF">2026-01-13T19:25:12Z</dcterms:modified>
</cp:coreProperties>
</file>